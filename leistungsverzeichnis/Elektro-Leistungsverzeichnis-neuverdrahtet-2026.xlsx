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blatt" sheetId="1" state="visible" r:id="rId1"/>
    <sheet name="Elektroinstallation" sheetId="2" state="visible" r:id="rId2"/>
    <sheet name="Wallbox" sheetId="3" state="visible" r:id="rId3"/>
    <sheet name="Photovoltaik" sheetId="4" state="visible" r:id="rId4"/>
    <sheet name="Beleuchtung" sheetId="5" state="visible" r:id="rId5"/>
    <sheet name="SmartHome" sheetId="6" state="visible" r:id="rId6"/>
    <sheet name="KNX" sheetId="7" state="visible" r:id="rId7"/>
    <sheet name="Messregeltechnik" sheetId="8" state="visible" r:id="rId8"/>
    <sheet name="Waermepumpe" sheetId="9" state="visible" r:id="rId9"/>
    <sheet name="DGUV" sheetId="10" state="visible" r:id="rId10"/>
    <sheet name="ECheck" sheetId="11" state="visible" r:id="rId11"/>
    <sheet name="Wartung" sheetId="12" state="visible" r:id="rId12"/>
    <sheet name="Sicherheitstechnik" sheetId="13" state="visible" r:id="rId13"/>
    <sheet name="Brandmeldeanlag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9">
    <font>
      <name val="Calibri"/>
      <family val="2"/>
      <color theme="1"/>
      <sz val="11"/>
      <scheme val="minor"/>
    </font>
    <font>
      <name val="Arial"/>
      <b val="1"/>
      <color rgb="000F2A44"/>
      <sz val="18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sz val="9.5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sz val="10.5"/>
    </font>
    <font>
      <name val="Arial"/>
      <color rgb="000000FF"/>
      <sz val="10"/>
    </font>
    <font>
      <name val="Arial"/>
      <b val="1"/>
      <i val="1"/>
      <sz val="9.5"/>
    </font>
    <font>
      <name val="Arial"/>
      <b val="1"/>
      <sz val="11"/>
    </font>
    <font>
      <name val="Arial"/>
      <color rgb="001155CC"/>
      <sz val="10"/>
      <u val="single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FFFFFF"/>
      <sz val="10.5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E4A66"/>
      </patternFill>
    </fill>
    <fill>
      <patternFill patternType="solid">
        <fgColor rgb="000F2A44"/>
      </patternFill>
    </fill>
    <fill>
      <patternFill patternType="solid">
        <fgColor rgb="00DCE6F1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BFBFBF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pivotButton="0" quotePrefix="0" xfId="0"/>
    <xf numFmtId="0" fontId="14" fillId="0" borderId="0" pivotButton="0" quotePrefix="0" xfId="0"/>
    <xf numFmtId="164" fontId="15" fillId="0" borderId="0" pivotButton="0" quotePrefix="0" xfId="0"/>
    <xf numFmtId="164" fontId="16" fillId="0" borderId="0" pivotButton="0" quotePrefix="0" xfId="0"/>
    <xf numFmtId="0" fontId="0" fillId="11" borderId="0" pivotButton="0" quotePrefix="0" xfId="0"/>
    <xf numFmtId="0" fontId="13" fillId="11" borderId="0" pivotButton="0" quotePrefix="0" xfId="0"/>
    <xf numFmtId="164" fontId="13" fillId="11" borderId="0" pivotButton="0" quotePrefix="0" xfId="0"/>
    <xf numFmtId="0" fontId="17" fillId="12" borderId="0" pivotButton="0" quotePrefix="0" xfId="0"/>
    <xf numFmtId="0" fontId="0" fillId="12" borderId="0" pivotButton="0" quotePrefix="0" xfId="0"/>
    <xf numFmtId="0" fontId="18" fillId="0" borderId="0" pivotButton="0" quotePrefix="0" xfId="0"/>
    <xf numFmtId="0" fontId="6" fillId="0" borderId="1" pivotButton="0" quotePrefix="0" xfId="0"/>
    <xf numFmtId="0" fontId="6" fillId="6" borderId="1" pivotButton="0" quotePrefix="0" xfId="0"/>
    <xf numFmtId="164" fontId="6" fillId="0" borderId="1" pivotButton="0" quotePrefix="0" xfId="0"/>
    <xf numFmtId="0" fontId="8" fillId="4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7" borderId="1" pivotButton="0" quotePrefix="0" xfId="0"/>
    <xf numFmtId="0" fontId="12" fillId="7" borderId="1" applyAlignment="1" pivotButton="0" quotePrefix="0" xfId="0">
      <alignment horizontal="right" vertical="center" indent="1"/>
    </xf>
    <xf numFmtId="164" fontId="3" fillId="7" borderId="1" pivotButton="0" quotePrefix="0" xfId="0"/>
    <xf numFmtId="0" fontId="10" fillId="8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left" vertical="center" indent="1"/>
    </xf>
    <xf numFmtId="0" fontId="13" fillId="11" borderId="1" pivotButton="0" quotePrefix="0" xfId="0"/>
    <xf numFmtId="0" fontId="13" fillId="11" borderId="1" applyAlignment="1" pivotButton="0" quotePrefix="0" xfId="0">
      <alignment horizontal="right" vertical="center" indent="1"/>
    </xf>
    <xf numFmtId="164" fontId="13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Elektroinstallation!A1" TargetMode="External" Id="rId1" /><Relationship Type="http://schemas.openxmlformats.org/officeDocument/2006/relationships/hyperlink" Target="#Wallbox!A1" TargetMode="External" Id="rId2" /><Relationship Type="http://schemas.openxmlformats.org/officeDocument/2006/relationships/hyperlink" Target="#Photovoltaik!A1" TargetMode="External" Id="rId3" /><Relationship Type="http://schemas.openxmlformats.org/officeDocument/2006/relationships/hyperlink" Target="#Beleuchtung!A1" TargetMode="External" Id="rId4" /><Relationship Type="http://schemas.openxmlformats.org/officeDocument/2006/relationships/hyperlink" Target="#SmartHome!A1" TargetMode="External" Id="rId5" /><Relationship Type="http://schemas.openxmlformats.org/officeDocument/2006/relationships/hyperlink" Target="#KNX!A1" TargetMode="External" Id="rId6" /><Relationship Type="http://schemas.openxmlformats.org/officeDocument/2006/relationships/hyperlink" Target="#Messregeltechnik!A1" TargetMode="External" Id="rId7" /><Relationship Type="http://schemas.openxmlformats.org/officeDocument/2006/relationships/hyperlink" Target="#Waermepumpe!A1" TargetMode="External" Id="rId8" /><Relationship Type="http://schemas.openxmlformats.org/officeDocument/2006/relationships/hyperlink" Target="#DGUV!A1" TargetMode="External" Id="rId9" /><Relationship Type="http://schemas.openxmlformats.org/officeDocument/2006/relationships/hyperlink" Target="#ECheck!A1" TargetMode="External" Id="rId10" /><Relationship Type="http://schemas.openxmlformats.org/officeDocument/2006/relationships/hyperlink" Target="#Wartung!A1" TargetMode="External" Id="rId11" /><Relationship Type="http://schemas.openxmlformats.org/officeDocument/2006/relationships/hyperlink" Target="#Sicherheitstechnik!A1" TargetMode="External" Id="rId12" /><Relationship Type="http://schemas.openxmlformats.org/officeDocument/2006/relationships/hyperlink" Target="#Brandmeldeanlagen!A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4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 ht="26" customHeight="1">
      <c r="B2" s="1" t="inlineStr">
        <is>
          <t>neuverdrahtet – Elektro-Leistungsverzeichnis 2026</t>
        </is>
      </c>
    </row>
    <row r="3">
      <c r="B3" s="2" t="inlineStr">
        <is>
          <t>Elektro Fachbetrieb – Smarte Elektrokonzepte für Alt &amp; Neubau</t>
        </is>
      </c>
    </row>
    <row r="5">
      <c r="B5" s="3" t="inlineStr">
        <is>
          <t>Firma:</t>
        </is>
      </c>
      <c r="C5" s="4" t="inlineStr">
        <is>
          <t>neuverdrahtet – Inh. Danny Berger</t>
        </is>
      </c>
    </row>
    <row r="6">
      <c r="B6" s="3" t="inlineStr">
        <is>
          <t>Adresse:</t>
        </is>
      </c>
      <c r="C6" s="4" t="inlineStr">
        <is>
          <t>Donnerstr. 131, 45357 Essen</t>
        </is>
      </c>
    </row>
    <row r="7">
      <c r="B7" s="3" t="inlineStr">
        <is>
          <t>Telefon:</t>
        </is>
      </c>
      <c r="C7" s="4" t="inlineStr">
        <is>
          <t>01706398575</t>
        </is>
      </c>
    </row>
    <row r="8">
      <c r="B8" s="3" t="inlineStr">
        <is>
          <t>E-Mail:</t>
        </is>
      </c>
      <c r="C8" s="4" t="inlineStr">
        <is>
          <t>neuverdrahtet@gmail.com</t>
        </is>
      </c>
    </row>
    <row r="9">
      <c r="B9" s="3" t="inlineStr">
        <is>
          <t>Einsatzgebiet:</t>
        </is>
      </c>
      <c r="C9" s="4" t="inlineStr">
        <is>
          <t>Essen und Ruhrgebiet (u. a. Bochum, Mülheim a. d. Ruhr, Oberhausen, Gelsenkirchen)</t>
        </is>
      </c>
    </row>
    <row r="10">
      <c r="B10" s="3" t="inlineStr">
        <is>
          <t>Stand:</t>
        </is>
      </c>
      <c r="C10" s="4" t="inlineStr">
        <is>
          <t>August 2026</t>
        </is>
      </c>
    </row>
    <row r="12">
      <c r="B12" s="5" t="inlineStr">
        <is>
          <t>Hinweise zur Nutzung</t>
        </is>
      </c>
      <c r="C12" s="6" t="n"/>
      <c r="D12" s="6" t="n"/>
      <c r="E12" s="6" t="n"/>
      <c r="F12" s="6" t="n"/>
      <c r="G12" s="6" t="n"/>
    </row>
    <row r="13" ht="28" customHeight="1">
      <c r="B13" s="7" t="inlineStr">
        <is>
          <t>• Alle Preise sind Nettopreise (netto) zzgl. 19 % Mehrwertsteuer und verstehen sich als unverbindliche Richtpreise (Stand 08/2026), Preisanpassungen je nach Aufmaß, Zugänglichkeit und Materialverfügbarkeit vorbehalten.</t>
        </is>
      </c>
    </row>
    <row r="14" ht="28" customHeight="1">
      <c r="B14" s="7" t="inlineStr">
        <is>
          <t>• Jedes Gewerk ist in vier Abschnitte gegliedert: A) Material einzeln, B) Arbeitsleistung / Lohn einzeln, C) Geräte / Technik einzeln (falls vorhanden), D) Mischpositionen – vorkalkulierte Komplettpreise aus Material, Arbeitszeit und Geräten.</t>
        </is>
      </c>
    </row>
    <row r="15" ht="28" customHeight="1">
      <c r="B15" s="7" t="inlineStr">
        <is>
          <t>• Gelb hinterlegte Zellen in Spalte 'Menge' sind Eingabefelder: Menge eintragen, Gesamtpreis netto/brutto wird automatisch berechnet.</t>
        </is>
      </c>
    </row>
    <row r="16" ht="28" customHeight="1">
      <c r="B16" s="7" t="inlineStr">
        <is>
          <t>• Stundensätze (netto): Facharbeiter/Geselle 68,00 € · Meister 89,00 € · Anfahrtspauschale 39,00 € (bereits in den Positionen berücksichtigt).</t>
        </is>
      </c>
    </row>
    <row r="17" ht="28" customHeight="1">
      <c r="B17" s="7" t="inlineStr">
        <is>
          <t>• Dieses Dokument dient als Preiskatalog/Vorlage zur Angebotserstellung und ersetzt keine verbindliche Kalkulation nach Vor-Ort-Aufmaß.</t>
        </is>
      </c>
    </row>
    <row r="19">
      <c r="B19" s="5" t="inlineStr">
        <is>
          <t>Inhaltsverzeichnis &amp; Gesamtsummen je Gewerk</t>
        </is>
      </c>
      <c r="C19" s="6" t="n"/>
      <c r="D19" s="6" t="n"/>
      <c r="E19" s="6" t="n"/>
      <c r="F19" s="6" t="n"/>
      <c r="G19" s="6" t="n"/>
    </row>
    <row r="20">
      <c r="B20" s="8" t="inlineStr">
        <is>
          <t>Nr.</t>
        </is>
      </c>
      <c r="C20" s="8" t="inlineStr">
        <is>
          <t>Gewerk / Blatt</t>
        </is>
      </c>
      <c r="D20" s="8" t="inlineStr"/>
      <c r="E20" s="8" t="inlineStr">
        <is>
          <t>Summe netto</t>
        </is>
      </c>
      <c r="F20" s="8" t="inlineStr">
        <is>
          <t>MwSt. 19%</t>
        </is>
      </c>
      <c r="G20" s="8" t="inlineStr">
        <is>
          <t>Summe brutto</t>
        </is>
      </c>
    </row>
    <row r="21">
      <c r="B21" s="4" t="n">
        <v>1</v>
      </c>
      <c r="C21" s="9" t="inlineStr">
        <is>
          <t>1. Elektroinstallation</t>
        </is>
      </c>
      <c r="E21" s="10">
        <f>Elektroinstallation!F55</f>
        <v/>
      </c>
      <c r="F21" s="10">
        <f>Elektroinstallation!G55</f>
        <v/>
      </c>
      <c r="G21" s="11">
        <f>Elektroinstallation!H55</f>
        <v/>
      </c>
    </row>
    <row r="22">
      <c r="B22" s="4" t="n">
        <v>2</v>
      </c>
      <c r="C22" s="9" t="inlineStr">
        <is>
          <t>2. Wallbox</t>
        </is>
      </c>
      <c r="E22" s="10">
        <f>Wallbox!F34</f>
        <v/>
      </c>
      <c r="F22" s="10">
        <f>Wallbox!G34</f>
        <v/>
      </c>
      <c r="G22" s="11">
        <f>Wallbox!H34</f>
        <v/>
      </c>
    </row>
    <row r="23">
      <c r="B23" s="4" t="n">
        <v>3</v>
      </c>
      <c r="C23" s="9" t="inlineStr">
        <is>
          <t>3. Photovoltaik (Elektroanschluss)</t>
        </is>
      </c>
      <c r="E23" s="10">
        <f>Photovoltaik!F31</f>
        <v/>
      </c>
      <c r="F23" s="10">
        <f>Photovoltaik!G31</f>
        <v/>
      </c>
      <c r="G23" s="11">
        <f>Photovoltaik!H31</f>
        <v/>
      </c>
    </row>
    <row r="24">
      <c r="B24" s="4" t="n">
        <v>4</v>
      </c>
      <c r="C24" s="9" t="inlineStr">
        <is>
          <t>4. Beleuchtung</t>
        </is>
      </c>
      <c r="E24" s="10">
        <f>Beleuchtung!F30</f>
        <v/>
      </c>
      <c r="F24" s="10">
        <f>Beleuchtung!G30</f>
        <v/>
      </c>
      <c r="G24" s="11">
        <f>Beleuchtung!H30</f>
        <v/>
      </c>
    </row>
    <row r="25">
      <c r="B25" s="4" t="n">
        <v>5</v>
      </c>
      <c r="C25" s="9" t="inlineStr">
        <is>
          <t>5. Smart Home (Allgemein)</t>
        </is>
      </c>
      <c r="E25" s="10">
        <f>SmartHome!F30</f>
        <v/>
      </c>
      <c r="F25" s="10">
        <f>SmartHome!G30</f>
        <v/>
      </c>
      <c r="G25" s="11">
        <f>SmartHome!H30</f>
        <v/>
      </c>
    </row>
    <row r="26">
      <c r="B26" s="4" t="n">
        <v>6</v>
      </c>
      <c r="C26" s="9" t="inlineStr">
        <is>
          <t>6. KNX-Gebäudesystemtechnik</t>
        </is>
      </c>
      <c r="E26" s="10">
        <f>KNX!F35</f>
        <v/>
      </c>
      <c r="F26" s="10">
        <f>KNX!G35</f>
        <v/>
      </c>
      <c r="G26" s="11">
        <f>KNX!H35</f>
        <v/>
      </c>
    </row>
    <row r="27">
      <c r="B27" s="4" t="n">
        <v>7</v>
      </c>
      <c r="C27" s="9" t="inlineStr">
        <is>
          <t>7. Mess- und Regeltechnik (MSR)</t>
        </is>
      </c>
      <c r="E27" s="10">
        <f>Messregeltechnik!F33</f>
        <v/>
      </c>
      <c r="F27" s="10">
        <f>Messregeltechnik!G33</f>
        <v/>
      </c>
      <c r="G27" s="11">
        <f>Messregeltechnik!H33</f>
        <v/>
      </c>
    </row>
    <row r="28">
      <c r="B28" s="4" t="n">
        <v>8</v>
      </c>
      <c r="C28" s="9" t="inlineStr">
        <is>
          <t>8. Wärmepumpe (Elektroanschluss)</t>
        </is>
      </c>
      <c r="E28" s="10">
        <f>Waermepumpe!F29</f>
        <v/>
      </c>
      <c r="F28" s="10">
        <f>Waermepumpe!G29</f>
        <v/>
      </c>
      <c r="G28" s="11">
        <f>Waermepumpe!H29</f>
        <v/>
      </c>
    </row>
    <row r="29">
      <c r="B29" s="4" t="n">
        <v>9</v>
      </c>
      <c r="C29" s="9" t="inlineStr">
        <is>
          <t>9. DGUV-Prüfung (DGUV Vorschrift 3)</t>
        </is>
      </c>
      <c r="E29" s="10">
        <f>DGUV!F26</f>
        <v/>
      </c>
      <c r="F29" s="10">
        <f>DGUV!G26</f>
        <v/>
      </c>
      <c r="G29" s="11">
        <f>DGUV!H26</f>
        <v/>
      </c>
    </row>
    <row r="30">
      <c r="B30" s="4" t="n">
        <v>10</v>
      </c>
      <c r="C30" s="9" t="inlineStr">
        <is>
          <t>10. E-Check</t>
        </is>
      </c>
      <c r="E30" s="10">
        <f>ECheck!F23</f>
        <v/>
      </c>
      <c r="F30" s="10">
        <f>ECheck!G23</f>
        <v/>
      </c>
      <c r="G30" s="11">
        <f>ECheck!H23</f>
        <v/>
      </c>
    </row>
    <row r="31">
      <c r="B31" s="4" t="n">
        <v>11</v>
      </c>
      <c r="C31" s="9" t="inlineStr">
        <is>
          <t>11. Wartung</t>
        </is>
      </c>
      <c r="E31" s="10">
        <f>Wartung!F23</f>
        <v/>
      </c>
      <c r="F31" s="10">
        <f>Wartung!G23</f>
        <v/>
      </c>
      <c r="G31" s="11">
        <f>Wartung!H23</f>
        <v/>
      </c>
    </row>
    <row r="32">
      <c r="B32" s="4" t="n">
        <v>12</v>
      </c>
      <c r="C32" s="9" t="inlineStr">
        <is>
          <t>12. Sicherheitstechnik</t>
        </is>
      </c>
      <c r="E32" s="10">
        <f>Sicherheitstechnik!F29</f>
        <v/>
      </c>
      <c r="F32" s="10">
        <f>Sicherheitstechnik!G29</f>
        <v/>
      </c>
      <c r="G32" s="11">
        <f>Sicherheitstechnik!H29</f>
        <v/>
      </c>
    </row>
    <row r="33">
      <c r="B33" s="4" t="n">
        <v>13</v>
      </c>
      <c r="C33" s="9" t="inlineStr">
        <is>
          <t>13. Brandmeldeanlagen</t>
        </is>
      </c>
      <c r="E33" s="10">
        <f>Brandmeldeanlagen!F31</f>
        <v/>
      </c>
      <c r="F33" s="10">
        <f>Brandmeldeanlagen!G31</f>
        <v/>
      </c>
      <c r="G33" s="11">
        <f>Brandmeldeanlagen!H31</f>
        <v/>
      </c>
    </row>
    <row r="34">
      <c r="B34" s="12" t="n"/>
      <c r="C34" s="13" t="inlineStr">
        <is>
          <t>GESAMTSUMME ALLE GEWERKE</t>
        </is>
      </c>
      <c r="D34" s="12" t="n"/>
      <c r="E34" s="14">
        <f>E21+E22+E23+E24+E25+E26+E27+E28+E29+E30+E31+E32+E33</f>
        <v/>
      </c>
      <c r="F34" s="12" t="n"/>
      <c r="G34" s="14">
        <f>G21+G22+G23+G24+G25+G26+G27+G28+G29+G30+G31+G32+G33</f>
        <v/>
      </c>
    </row>
    <row r="37">
      <c r="B37" s="15" t="inlineStr">
        <is>
          <t>Beispiel – so wird die Menge eingetragen (Demo, keine echte Position)</t>
        </is>
      </c>
      <c r="C37" s="16" t="n"/>
      <c r="D37" s="16" t="n"/>
      <c r="E37" s="16" t="n"/>
      <c r="F37" s="16" t="n"/>
      <c r="G37" s="16" t="n"/>
    </row>
    <row r="38">
      <c r="B38" s="17" t="inlineStr">
        <is>
          <t>Bezeichnung</t>
        </is>
      </c>
      <c r="C38" s="17" t="inlineStr">
        <is>
          <t>Einheit</t>
        </is>
      </c>
      <c r="D38" s="17" t="inlineStr">
        <is>
          <t>Menge</t>
        </is>
      </c>
      <c r="E38" s="17" t="inlineStr">
        <is>
          <t>Einzelpreis netto</t>
        </is>
      </c>
      <c r="F38" s="17" t="inlineStr">
        <is>
          <t>Gesamtpreis netto</t>
        </is>
      </c>
      <c r="G38" s="17" t="inlineStr">
        <is>
          <t>Gesamtpreis brutto</t>
        </is>
      </c>
    </row>
    <row r="39">
      <c r="B39" s="18" t="inlineStr">
        <is>
          <t>Steckdose UP komplett (Material + Montage)</t>
        </is>
      </c>
      <c r="C39" s="18" t="inlineStr">
        <is>
          <t>Stk</t>
        </is>
      </c>
      <c r="D39" s="19" t="n">
        <v>3</v>
      </c>
      <c r="E39" s="20" t="n">
        <v>42</v>
      </c>
      <c r="F39" s="20">
        <f>D39*E39</f>
        <v/>
      </c>
      <c r="G39" s="20">
        <f>D39*E39*1.19</f>
        <v/>
      </c>
    </row>
  </sheetData>
  <mergeCells count="24">
    <mergeCell ref="B2:G2"/>
    <mergeCell ref="C34:D34"/>
    <mergeCell ref="C24:D24"/>
    <mergeCell ref="C30:D30"/>
    <mergeCell ref="B14:G14"/>
    <mergeCell ref="C33:D33"/>
    <mergeCell ref="B17:G17"/>
    <mergeCell ref="B13:G13"/>
    <mergeCell ref="C26:D26"/>
    <mergeCell ref="B19:G19"/>
    <mergeCell ref="C29:D29"/>
    <mergeCell ref="B37:G37"/>
    <mergeCell ref="C25:D25"/>
    <mergeCell ref="C22:D22"/>
    <mergeCell ref="C31:D31"/>
    <mergeCell ref="B15:G15"/>
    <mergeCell ref="C21:D21"/>
    <mergeCell ref="C27:D27"/>
    <mergeCell ref="C23:D23"/>
    <mergeCell ref="B3:G3"/>
    <mergeCell ref="B16:G16"/>
    <mergeCell ref="C32:D32"/>
    <mergeCell ref="C28:D28"/>
    <mergeCell ref="B12:G12"/>
  </mergeCells>
  <hyperlinks>
    <hyperlink xmlns:r="http://schemas.openxmlformats.org/officeDocument/2006/relationships" ref="C21" r:id="rId1"/>
    <hyperlink xmlns:r="http://schemas.openxmlformats.org/officeDocument/2006/relationships" ref="C22" r:id="rId2"/>
    <hyperlink xmlns:r="http://schemas.openxmlformats.org/officeDocument/2006/relationships" ref="C23" r:id="rId3"/>
    <hyperlink xmlns:r="http://schemas.openxmlformats.org/officeDocument/2006/relationships" ref="C24" r:id="rId4"/>
    <hyperlink xmlns:r="http://schemas.openxmlformats.org/officeDocument/2006/relationships" ref="C25" r:id="rId5"/>
    <hyperlink xmlns:r="http://schemas.openxmlformats.org/officeDocument/2006/relationships" ref="C26" r:id="rId6"/>
    <hyperlink xmlns:r="http://schemas.openxmlformats.org/officeDocument/2006/relationships" ref="C27" r:id="rId7"/>
    <hyperlink xmlns:r="http://schemas.openxmlformats.org/officeDocument/2006/relationships" ref="C28" r:id="rId8"/>
    <hyperlink xmlns:r="http://schemas.openxmlformats.org/officeDocument/2006/relationships" ref="C29" r:id="rId9"/>
    <hyperlink xmlns:r="http://schemas.openxmlformats.org/officeDocument/2006/relationships" ref="C30" r:id="rId10"/>
    <hyperlink xmlns:r="http://schemas.openxmlformats.org/officeDocument/2006/relationships" ref="C31" r:id="rId11"/>
    <hyperlink xmlns:r="http://schemas.openxmlformats.org/officeDocument/2006/relationships" ref="C32" r:id="rId12"/>
    <hyperlink xmlns:r="http://schemas.openxmlformats.org/officeDocument/2006/relationships" ref="C33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1. Elektroinstallation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EI.010</t>
        </is>
      </c>
      <c r="B5" s="27" t="inlineStr">
        <is>
          <t>NYM-J 3x1,5 mm² Installationsleitung</t>
        </is>
      </c>
      <c r="C5" s="26" t="inlineStr">
        <is>
          <t>m</t>
        </is>
      </c>
      <c r="D5" s="28" t="n"/>
      <c r="E5" s="29" t="n">
        <v>2.1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EI.020</t>
        </is>
      </c>
      <c r="B6" s="27" t="inlineStr">
        <is>
          <t>NYM-J 3x2,5 mm² Installationsleitung</t>
        </is>
      </c>
      <c r="C6" s="26" t="inlineStr">
        <is>
          <t>m</t>
        </is>
      </c>
      <c r="D6" s="28" t="n"/>
      <c r="E6" s="29" t="n">
        <v>2.8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EI.030</t>
        </is>
      </c>
      <c r="B7" s="27" t="inlineStr">
        <is>
          <t>NYM-J 5x1,5 mm² Installationsleitung</t>
        </is>
      </c>
      <c r="C7" s="26" t="inlineStr">
        <is>
          <t>m</t>
        </is>
      </c>
      <c r="D7" s="28" t="n"/>
      <c r="E7" s="29" t="n">
        <v>3.6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EI.040</t>
        </is>
      </c>
      <c r="B8" s="27" t="inlineStr">
        <is>
          <t>Installationsrohr flexibel (Leerrohr) M20</t>
        </is>
      </c>
      <c r="C8" s="26" t="inlineStr">
        <is>
          <t>m</t>
        </is>
      </c>
      <c r="D8" s="28" t="n"/>
      <c r="E8" s="29" t="n">
        <v>1.4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EI.050</t>
        </is>
      </c>
      <c r="B9" s="27" t="inlineStr">
        <is>
          <t>Unterputzdose Standard</t>
        </is>
      </c>
      <c r="C9" s="26" t="inlineStr">
        <is>
          <t>Stk</t>
        </is>
      </c>
      <c r="D9" s="28" t="n"/>
      <c r="E9" s="29" t="n">
        <v>1.8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EI.060</t>
        </is>
      </c>
      <c r="B10" s="27" t="inlineStr">
        <is>
          <t>Abzweigdose Auf-/Unterputz</t>
        </is>
      </c>
      <c r="C10" s="26" t="inlineStr">
        <is>
          <t>Stk</t>
        </is>
      </c>
      <c r="D10" s="28" t="n"/>
      <c r="E10" s="29" t="n">
        <v>3.2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EI.070</t>
        </is>
      </c>
      <c r="B11" s="27" t="inlineStr">
        <is>
          <t>Schalter-/Steckdoseneinsatz Standard (Serie)</t>
        </is>
      </c>
      <c r="C11" s="26" t="inlineStr">
        <is>
          <t>Stk</t>
        </is>
      </c>
      <c r="D11" s="28" t="n"/>
      <c r="E11" s="29" t="n">
        <v>9.5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26" t="inlineStr">
        <is>
          <t>EI.080</t>
        </is>
      </c>
      <c r="B12" s="27" t="inlineStr">
        <is>
          <t>Schalter-/Steckdosenrahmen inkl. Abdeckung</t>
        </is>
      </c>
      <c r="C12" s="26" t="inlineStr">
        <is>
          <t>Stk</t>
        </is>
      </c>
      <c r="D12" s="28" t="n"/>
      <c r="E12" s="29" t="n">
        <v>7.8</v>
      </c>
      <c r="F12" s="29">
        <f>IF(D12="",0,D12*E12)</f>
        <v/>
      </c>
      <c r="G12" s="29">
        <f>F12*0.19</f>
        <v/>
      </c>
      <c r="H12" s="29">
        <f>F12+G12</f>
        <v/>
      </c>
    </row>
    <row r="13">
      <c r="A13" s="26" t="inlineStr">
        <is>
          <t>EI.090</t>
        </is>
      </c>
      <c r="B13" s="27" t="inlineStr">
        <is>
          <t>FI-Schutzschalter (RCD) 2-polig 25A/30mA</t>
        </is>
      </c>
      <c r="C13" s="26" t="inlineStr">
        <is>
          <t>Stk</t>
        </is>
      </c>
      <c r="D13" s="28" t="n"/>
      <c r="E13" s="29" t="n">
        <v>68</v>
      </c>
      <c r="F13" s="29">
        <f>IF(D13="",0,D13*E13)</f>
        <v/>
      </c>
      <c r="G13" s="29">
        <f>F13*0.19</f>
        <v/>
      </c>
      <c r="H13" s="29">
        <f>F13+G13</f>
        <v/>
      </c>
    </row>
    <row r="14">
      <c r="A14" s="26" t="inlineStr">
        <is>
          <t>EI.100</t>
        </is>
      </c>
      <c r="B14" s="27" t="inlineStr">
        <is>
          <t>FI/LS-Kombischalter 1-polig 16A, Typ A</t>
        </is>
      </c>
      <c r="C14" s="26" t="inlineStr">
        <is>
          <t>Stk</t>
        </is>
      </c>
      <c r="D14" s="28" t="n"/>
      <c r="E14" s="29" t="n">
        <v>145</v>
      </c>
      <c r="F14" s="29">
        <f>IF(D14="",0,D14*E14)</f>
        <v/>
      </c>
      <c r="G14" s="29">
        <f>F14*0.19</f>
        <v/>
      </c>
      <c r="H14" s="29">
        <f>F14+G14</f>
        <v/>
      </c>
    </row>
    <row r="15">
      <c r="A15" s="26" t="inlineStr">
        <is>
          <t>EI.110</t>
        </is>
      </c>
      <c r="B15" s="27" t="inlineStr">
        <is>
          <t>Leitungsschutzschalter (LS) B16, 1-polig</t>
        </is>
      </c>
      <c r="C15" s="26" t="inlineStr">
        <is>
          <t>Stk</t>
        </is>
      </c>
      <c r="D15" s="28" t="n"/>
      <c r="E15" s="29" t="n">
        <v>14.5</v>
      </c>
      <c r="F15" s="29">
        <f>IF(D15="",0,D15*E15)</f>
        <v/>
      </c>
      <c r="G15" s="29">
        <f>F15*0.19</f>
        <v/>
      </c>
      <c r="H15" s="29">
        <f>F15+G15</f>
        <v/>
      </c>
    </row>
    <row r="16">
      <c r="A16" s="26" t="inlineStr">
        <is>
          <t>EI.120</t>
        </is>
      </c>
      <c r="B16" s="27" t="inlineStr">
        <is>
          <t>Sicherungs-/Verteilerschrank UP, 3-reihig</t>
        </is>
      </c>
      <c r="C16" s="26" t="inlineStr">
        <is>
          <t>Stk</t>
        </is>
      </c>
      <c r="D16" s="28" t="n"/>
      <c r="E16" s="29" t="n">
        <v>165</v>
      </c>
      <c r="F16" s="29">
        <f>IF(D16="",0,D16*E16)</f>
        <v/>
      </c>
      <c r="G16" s="29">
        <f>F16*0.19</f>
        <v/>
      </c>
      <c r="H16" s="29">
        <f>F16+G16</f>
        <v/>
      </c>
    </row>
    <row r="17">
      <c r="A17" s="26" t="inlineStr">
        <is>
          <t>EI.130</t>
        </is>
      </c>
      <c r="B17" s="27" t="inlineStr">
        <is>
          <t>Potentialausgleichsschiene inkl. Zubehör</t>
        </is>
      </c>
      <c r="C17" s="26" t="inlineStr">
        <is>
          <t>Stk</t>
        </is>
      </c>
      <c r="D17" s="28" t="n"/>
      <c r="E17" s="29" t="n">
        <v>32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26" t="inlineStr">
        <is>
          <t>EI.140</t>
        </is>
      </c>
      <c r="B18" s="27" t="inlineStr">
        <is>
          <t>Verbindungsklemmen (Steckklemmen) Set</t>
        </is>
      </c>
      <c r="C18" s="26" t="inlineStr">
        <is>
          <t>Stk</t>
        </is>
      </c>
      <c r="D18" s="28" t="n"/>
      <c r="E18" s="29" t="n">
        <v>4.5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EI.150</t>
        </is>
      </c>
      <c r="B19" s="27" t="inlineStr">
        <is>
          <t>Kabelkanal / Brüstungskanal</t>
        </is>
      </c>
      <c r="C19" s="26" t="inlineStr">
        <is>
          <t>m</t>
        </is>
      </c>
      <c r="D19" s="28" t="n"/>
      <c r="E19" s="29" t="n">
        <v>8.9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30" t="n"/>
      <c r="B20" s="31" t="inlineStr">
        <is>
          <t>Zwischensumme – Material</t>
        </is>
      </c>
      <c r="C20" s="30" t="n"/>
      <c r="D20" s="30" t="n"/>
      <c r="E20" s="30" t="n"/>
      <c r="F20" s="32">
        <f>SUM(F5:F19)</f>
        <v/>
      </c>
      <c r="G20" s="32">
        <f>SUM(G5:G19)</f>
        <v/>
      </c>
      <c r="H20" s="32">
        <f>SUM(H5:H19)</f>
        <v/>
      </c>
    </row>
    <row r="22">
      <c r="A22" s="33" t="inlineStr">
        <is>
          <t>Arbeitsleistung / Lohn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>
      <c r="A23" s="26" t="inlineStr">
        <is>
          <t>EI.160</t>
        </is>
      </c>
      <c r="B23" s="27" t="inlineStr">
        <is>
          <t>Facharbeiterstunde Elektroinstallation</t>
        </is>
      </c>
      <c r="C23" s="26" t="inlineStr">
        <is>
          <t>h</t>
        </is>
      </c>
      <c r="D23" s="28" t="n"/>
      <c r="E23" s="29" t="n">
        <v>68</v>
      </c>
      <c r="F23" s="29">
        <f>IF(D23="",0,D23*E23)</f>
        <v/>
      </c>
      <c r="G23" s="29">
        <f>F23*0.19</f>
        <v/>
      </c>
      <c r="H23" s="29">
        <f>F23+G23</f>
        <v/>
      </c>
    </row>
    <row r="24">
      <c r="A24" s="26" t="inlineStr">
        <is>
          <t>EI.170</t>
        </is>
      </c>
      <c r="B24" s="27" t="inlineStr">
        <is>
          <t>Meisterstunde (Planung / Abnahme)</t>
        </is>
      </c>
      <c r="C24" s="26" t="inlineStr">
        <is>
          <t>h</t>
        </is>
      </c>
      <c r="D24" s="28" t="n"/>
      <c r="E24" s="29" t="n">
        <v>89</v>
      </c>
      <c r="F24" s="29">
        <f>IF(D24="",0,D24*E24)</f>
        <v/>
      </c>
      <c r="G24" s="29">
        <f>F24*0.19</f>
        <v/>
      </c>
      <c r="H24" s="29">
        <f>F24+G24</f>
        <v/>
      </c>
    </row>
    <row r="25">
      <c r="A25" s="26" t="inlineStr">
        <is>
          <t>EI.180</t>
        </is>
      </c>
      <c r="B25" s="27" t="inlineStr">
        <is>
          <t>Kabel verlegen Unterputz (Schlitz stemmen, verputzen)</t>
        </is>
      </c>
      <c r="C25" s="26" t="inlineStr">
        <is>
          <t>m</t>
        </is>
      </c>
      <c r="D25" s="28" t="n"/>
      <c r="E25" s="29" t="n">
        <v>12.5</v>
      </c>
      <c r="F25" s="29">
        <f>IF(D25="",0,D25*E25)</f>
        <v/>
      </c>
      <c r="G25" s="29">
        <f>F25*0.19</f>
        <v/>
      </c>
      <c r="H25" s="29">
        <f>F25+G25</f>
        <v/>
      </c>
    </row>
    <row r="26">
      <c r="A26" s="26" t="inlineStr">
        <is>
          <t>EI.190</t>
        </is>
      </c>
      <c r="B26" s="27" t="inlineStr">
        <is>
          <t>Kabel verlegen Aufputz / im Kabelkanal</t>
        </is>
      </c>
      <c r="C26" s="26" t="inlineStr">
        <is>
          <t>m</t>
        </is>
      </c>
      <c r="D26" s="28" t="n"/>
      <c r="E26" s="29" t="n">
        <v>5.8</v>
      </c>
      <c r="F26" s="29">
        <f>IF(D26="",0,D26*E26)</f>
        <v/>
      </c>
      <c r="G26" s="29">
        <f>F26*0.19</f>
        <v/>
      </c>
      <c r="H26" s="29">
        <f>F26+G26</f>
        <v/>
      </c>
    </row>
    <row r="27">
      <c r="A27" s="26" t="inlineStr">
        <is>
          <t>EI.200</t>
        </is>
      </c>
      <c r="B27" s="27" t="inlineStr">
        <is>
          <t>Unterputzdose setzen inkl. Kernbohrung</t>
        </is>
      </c>
      <c r="C27" s="26" t="inlineStr">
        <is>
          <t>Stk</t>
        </is>
      </c>
      <c r="D27" s="28" t="n"/>
      <c r="E27" s="29" t="n">
        <v>18</v>
      </c>
      <c r="F27" s="29">
        <f>IF(D27="",0,D27*E27)</f>
        <v/>
      </c>
      <c r="G27" s="29">
        <f>F27*0.19</f>
        <v/>
      </c>
      <c r="H27" s="29">
        <f>F27+G27</f>
        <v/>
      </c>
    </row>
    <row r="28">
      <c r="A28" s="26" t="inlineStr">
        <is>
          <t>EI.210</t>
        </is>
      </c>
      <c r="B28" s="27" t="inlineStr">
        <is>
          <t>Schalter/Steckdose montieren u. anschließen</t>
        </is>
      </c>
      <c r="C28" s="26" t="inlineStr">
        <is>
          <t>Stk</t>
        </is>
      </c>
      <c r="D28" s="28" t="n"/>
      <c r="E28" s="29" t="n">
        <v>14</v>
      </c>
      <c r="F28" s="29">
        <f>IF(D28="",0,D28*E28)</f>
        <v/>
      </c>
      <c r="G28" s="29">
        <f>F28*0.19</f>
        <v/>
      </c>
      <c r="H28" s="29">
        <f>F28+G28</f>
        <v/>
      </c>
    </row>
    <row r="29">
      <c r="A29" s="26" t="inlineStr">
        <is>
          <t>EI.220</t>
        </is>
      </c>
      <c r="B29" s="27" t="inlineStr">
        <is>
          <t>Sicherungskasten anschließen u. verdrahten (je Stromkreis)</t>
        </is>
      </c>
      <c r="C29" s="26" t="inlineStr">
        <is>
          <t>Stk</t>
        </is>
      </c>
      <c r="D29" s="28" t="n"/>
      <c r="E29" s="29" t="n">
        <v>32</v>
      </c>
      <c r="F29" s="29">
        <f>IF(D29="",0,D29*E29)</f>
        <v/>
      </c>
      <c r="G29" s="29">
        <f>F29*0.19</f>
        <v/>
      </c>
      <c r="H29" s="29">
        <f>F29+G29</f>
        <v/>
      </c>
    </row>
    <row r="30">
      <c r="A30" s="26" t="inlineStr">
        <is>
          <t>EI.230</t>
        </is>
      </c>
      <c r="B30" s="27" t="inlineStr">
        <is>
          <t>Zählerschrank-Anschluss herstellen</t>
        </is>
      </c>
      <c r="C30" s="26" t="inlineStr">
        <is>
          <t>psch.</t>
        </is>
      </c>
      <c r="D30" s="28" t="n"/>
      <c r="E30" s="29" t="n">
        <v>180</v>
      </c>
      <c r="F30" s="29">
        <f>IF(D30="",0,D30*E30)</f>
        <v/>
      </c>
      <c r="G30" s="29">
        <f>F30*0.19</f>
        <v/>
      </c>
      <c r="H30" s="29">
        <f>F30+G30</f>
        <v/>
      </c>
    </row>
    <row r="31">
      <c r="A31" s="26" t="inlineStr">
        <is>
          <t>EI.240</t>
        </is>
      </c>
      <c r="B31" s="27" t="inlineStr">
        <is>
          <t>Anschluss Herd / Backofen (Starkstrom)</t>
        </is>
      </c>
      <c r="C31" s="26" t="inlineStr">
        <is>
          <t>Stk</t>
        </is>
      </c>
      <c r="D31" s="28" t="n"/>
      <c r="E31" s="29" t="n">
        <v>65</v>
      </c>
      <c r="F31" s="29">
        <f>IF(D31="",0,D31*E31)</f>
        <v/>
      </c>
      <c r="G31" s="29">
        <f>F31*0.19</f>
        <v/>
      </c>
      <c r="H31" s="29">
        <f>F31+G31</f>
        <v/>
      </c>
    </row>
    <row r="32">
      <c r="A32" s="26" t="inlineStr">
        <is>
          <t>EI.250</t>
        </is>
      </c>
      <c r="B32" s="27" t="inlineStr">
        <is>
          <t>Anschluss Durchlauferhitzer</t>
        </is>
      </c>
      <c r="C32" s="26" t="inlineStr">
        <is>
          <t>Stk</t>
        </is>
      </c>
      <c r="D32" s="28" t="n"/>
      <c r="E32" s="29" t="n">
        <v>55</v>
      </c>
      <c r="F32" s="29">
        <f>IF(D32="",0,D32*E32)</f>
        <v/>
      </c>
      <c r="G32" s="29">
        <f>F32*0.19</f>
        <v/>
      </c>
      <c r="H32" s="29">
        <f>F32+G32</f>
        <v/>
      </c>
    </row>
    <row r="33">
      <c r="A33" s="26" t="inlineStr">
        <is>
          <t>EI.260</t>
        </is>
      </c>
      <c r="B33" s="27" t="inlineStr">
        <is>
          <t>Anfahrtspauschale</t>
        </is>
      </c>
      <c r="C33" s="26" t="inlineStr">
        <is>
          <t>psch.</t>
        </is>
      </c>
      <c r="D33" s="28" t="n"/>
      <c r="E33" s="29" t="n">
        <v>39</v>
      </c>
      <c r="F33" s="29">
        <f>IF(D33="",0,D33*E33)</f>
        <v/>
      </c>
      <c r="G33" s="29">
        <f>F33*0.19</f>
        <v/>
      </c>
      <c r="H33" s="29">
        <f>F33+G33</f>
        <v/>
      </c>
    </row>
    <row r="34">
      <c r="A34" s="26" t="inlineStr">
        <is>
          <t>EI.270</t>
        </is>
      </c>
      <c r="B34" s="27" t="inlineStr">
        <is>
          <t>Entsorgung Altmaterial</t>
        </is>
      </c>
      <c r="C34" s="26" t="inlineStr">
        <is>
          <t>psch.</t>
        </is>
      </c>
      <c r="D34" s="28" t="n"/>
      <c r="E34" s="29" t="n">
        <v>45</v>
      </c>
      <c r="F34" s="29">
        <f>IF(D34="",0,D34*E34)</f>
        <v/>
      </c>
      <c r="G34" s="29">
        <f>F34*0.19</f>
        <v/>
      </c>
      <c r="H34" s="29">
        <f>F34+G34</f>
        <v/>
      </c>
    </row>
    <row r="35">
      <c r="A35" s="30" t="n"/>
      <c r="B35" s="31" t="inlineStr">
        <is>
          <t>Zwischensumme – Arbeitsleistung / Lohn</t>
        </is>
      </c>
      <c r="C35" s="30" t="n"/>
      <c r="D35" s="30" t="n"/>
      <c r="E35" s="30" t="n"/>
      <c r="F35" s="32">
        <f>SUM(F23:F34)</f>
        <v/>
      </c>
      <c r="G35" s="32">
        <f>SUM(G23:G34)</f>
        <v/>
      </c>
      <c r="H35" s="32">
        <f>SUM(H23:H34)</f>
        <v/>
      </c>
    </row>
    <row r="37">
      <c r="A37" s="34" t="inlineStr">
        <is>
          <t>Geräte / Technik</t>
        </is>
      </c>
      <c r="B37" s="25" t="n"/>
      <c r="C37" s="25" t="n"/>
      <c r="D37" s="25" t="n"/>
      <c r="E37" s="25" t="n"/>
      <c r="F37" s="25" t="n"/>
      <c r="G37" s="25" t="n"/>
      <c r="H37" s="25" t="n"/>
    </row>
    <row r="38">
      <c r="A38" s="26" t="inlineStr">
        <is>
          <t>EI.280</t>
        </is>
      </c>
      <c r="B38" s="27" t="inlineStr">
        <is>
          <t>Rauchwarnmelder vernetzt (funkbasiert)</t>
        </is>
      </c>
      <c r="C38" s="26" t="inlineStr">
        <is>
          <t>Stk</t>
        </is>
      </c>
      <c r="D38" s="28" t="n"/>
      <c r="E38" s="29" t="n">
        <v>42</v>
      </c>
      <c r="F38" s="29">
        <f>IF(D38="",0,D38*E38)</f>
        <v/>
      </c>
      <c r="G38" s="29">
        <f>F38*0.19</f>
        <v/>
      </c>
      <c r="H38" s="29">
        <f>F38+G38</f>
        <v/>
      </c>
    </row>
    <row r="39">
      <c r="A39" s="26" t="inlineStr">
        <is>
          <t>EI.290</t>
        </is>
      </c>
      <c r="B39" s="27" t="inlineStr">
        <is>
          <t>Klingel-/Gegensprechanlage Set</t>
        </is>
      </c>
      <c r="C39" s="26" t="inlineStr">
        <is>
          <t>Stk</t>
        </is>
      </c>
      <c r="D39" s="28" t="n"/>
      <c r="E39" s="29" t="n">
        <v>165</v>
      </c>
      <c r="F39" s="29">
        <f>IF(D39="",0,D39*E39)</f>
        <v/>
      </c>
      <c r="G39" s="29">
        <f>F39*0.19</f>
        <v/>
      </c>
      <c r="H39" s="29">
        <f>F39+G39</f>
        <v/>
      </c>
    </row>
    <row r="40">
      <c r="A40" s="26" t="inlineStr">
        <is>
          <t>EI.300</t>
        </is>
      </c>
      <c r="B40" s="27" t="inlineStr">
        <is>
          <t>Zeitschaltuhr / Treppenlichtautomat</t>
        </is>
      </c>
      <c r="C40" s="26" t="inlineStr">
        <is>
          <t>Stk</t>
        </is>
      </c>
      <c r="D40" s="28" t="n"/>
      <c r="E40" s="29" t="n">
        <v>38</v>
      </c>
      <c r="F40" s="29">
        <f>IF(D40="",0,D40*E40)</f>
        <v/>
      </c>
      <c r="G40" s="29">
        <f>F40*0.19</f>
        <v/>
      </c>
      <c r="H40" s="29">
        <f>F40+G40</f>
        <v/>
      </c>
    </row>
    <row r="41">
      <c r="A41" s="26" t="inlineStr">
        <is>
          <t>EI.310</t>
        </is>
      </c>
      <c r="B41" s="27" t="inlineStr">
        <is>
          <t>Überspannungsschutz Typ 2 (SPD)</t>
        </is>
      </c>
      <c r="C41" s="26" t="inlineStr">
        <is>
          <t>Stk</t>
        </is>
      </c>
      <c r="D41" s="28" t="n"/>
      <c r="E41" s="29" t="n">
        <v>95</v>
      </c>
      <c r="F41" s="29">
        <f>IF(D41="",0,D41*E41)</f>
        <v/>
      </c>
      <c r="G41" s="29">
        <f>F41*0.19</f>
        <v/>
      </c>
      <c r="H41" s="29">
        <f>F41+G41</f>
        <v/>
      </c>
    </row>
    <row r="42">
      <c r="A42" s="30" t="n"/>
      <c r="B42" s="31" t="inlineStr">
        <is>
          <t>Zwischensumme – Geräte / Technik</t>
        </is>
      </c>
      <c r="C42" s="30" t="n"/>
      <c r="D42" s="30" t="n"/>
      <c r="E42" s="30" t="n"/>
      <c r="F42" s="32">
        <f>SUM(F38:F41)</f>
        <v/>
      </c>
      <c r="G42" s="32">
        <f>SUM(G38:G41)</f>
        <v/>
      </c>
      <c r="H42" s="32">
        <f>SUM(H38:H41)</f>
        <v/>
      </c>
    </row>
    <row r="44">
      <c r="A44" s="35" t="inlineStr">
        <is>
          <t>Mischpositionen (Material + Arbeit + Geräte komplett)</t>
        </is>
      </c>
      <c r="B44" s="25" t="n"/>
      <c r="C44" s="25" t="n"/>
      <c r="D44" s="25" t="n"/>
      <c r="E44" s="25" t="n"/>
      <c r="F44" s="25" t="n"/>
      <c r="G44" s="25" t="n"/>
      <c r="H44" s="25" t="n"/>
    </row>
    <row r="45">
      <c r="A45" s="26" t="inlineStr">
        <is>
          <t>EI.320</t>
        </is>
      </c>
      <c r="B45" s="27" t="inlineStr">
        <is>
          <t>Steckdose UP komplett (Material + Montage)</t>
        </is>
      </c>
      <c r="C45" s="26" t="inlineStr">
        <is>
          <t>Stk</t>
        </is>
      </c>
      <c r="D45" s="28" t="n"/>
      <c r="E45" s="29" t="n">
        <v>42</v>
      </c>
      <c r="F45" s="29">
        <f>IF(D45="",0,D45*E45)</f>
        <v/>
      </c>
      <c r="G45" s="29">
        <f>F45*0.19</f>
        <v/>
      </c>
      <c r="H45" s="29">
        <f>F45+G45</f>
        <v/>
      </c>
    </row>
    <row r="46">
      <c r="A46" s="26" t="inlineStr">
        <is>
          <t>EI.330</t>
        </is>
      </c>
      <c r="B46" s="27" t="inlineStr">
        <is>
          <t>Lichtauslass Decke komplett (Material + Montage)</t>
        </is>
      </c>
      <c r="C46" s="26" t="inlineStr">
        <is>
          <t>Stk</t>
        </is>
      </c>
      <c r="D46" s="28" t="n"/>
      <c r="E46" s="29" t="n">
        <v>48</v>
      </c>
      <c r="F46" s="29">
        <f>IF(D46="",0,D46*E46)</f>
        <v/>
      </c>
      <c r="G46" s="29">
        <f>F46*0.19</f>
        <v/>
      </c>
      <c r="H46" s="29">
        <f>F46+G46</f>
        <v/>
      </c>
    </row>
    <row r="47">
      <c r="A47" s="26" t="inlineStr">
        <is>
          <t>EI.340</t>
        </is>
      </c>
      <c r="B47" s="27" t="inlineStr">
        <is>
          <t>Schalterstelle komplett (Material + Montage)</t>
        </is>
      </c>
      <c r="C47" s="26" t="inlineStr">
        <is>
          <t>Stk</t>
        </is>
      </c>
      <c r="D47" s="28" t="n"/>
      <c r="E47" s="29" t="n">
        <v>39</v>
      </c>
      <c r="F47" s="29">
        <f>IF(D47="",0,D47*E47)</f>
        <v/>
      </c>
      <c r="G47" s="29">
        <f>F47*0.19</f>
        <v/>
      </c>
      <c r="H47" s="29">
        <f>F47+G47</f>
        <v/>
      </c>
    </row>
    <row r="48">
      <c r="A48" s="26" t="inlineStr">
        <is>
          <t>EI.350</t>
        </is>
      </c>
      <c r="B48" s="27" t="inlineStr">
        <is>
          <t>Sicherungskasten-Neuinstallation komplett, bis 12 Stromkreise</t>
        </is>
      </c>
      <c r="C48" s="26" t="inlineStr">
        <is>
          <t>psch.</t>
        </is>
      </c>
      <c r="D48" s="28" t="n"/>
      <c r="E48" s="29" t="n">
        <v>1450</v>
      </c>
      <c r="F48" s="29">
        <f>IF(D48="",0,D48*E48)</f>
        <v/>
      </c>
      <c r="G48" s="29">
        <f>F48*0.19</f>
        <v/>
      </c>
      <c r="H48" s="29">
        <f>F48+G48</f>
        <v/>
      </c>
    </row>
    <row r="49">
      <c r="A49" s="26" t="inlineStr">
        <is>
          <t>EI.360</t>
        </is>
      </c>
      <c r="B49" s="27" t="inlineStr">
        <is>
          <t>Komplett­erneuerung Elektroinstallation Altbau</t>
        </is>
      </c>
      <c r="C49" s="26" t="inlineStr">
        <is>
          <t>m²</t>
        </is>
      </c>
      <c r="D49" s="28" t="n"/>
      <c r="E49" s="29" t="n">
        <v>95</v>
      </c>
      <c r="F49" s="29">
        <f>IF(D49="",0,D49*E49)</f>
        <v/>
      </c>
      <c r="G49" s="29">
        <f>F49*0.19</f>
        <v/>
      </c>
      <c r="H49" s="29">
        <f>F49+G49</f>
        <v/>
      </c>
    </row>
    <row r="50">
      <c r="A50" s="26" t="inlineStr">
        <is>
          <t>EI.370</t>
        </is>
      </c>
      <c r="B50" s="27" t="inlineStr">
        <is>
          <t>Neuinstallation Elektro Neubau (Rohinstallation)</t>
        </is>
      </c>
      <c r="C50" s="26" t="inlineStr">
        <is>
          <t>m²</t>
        </is>
      </c>
      <c r="D50" s="28" t="n"/>
      <c r="E50" s="29" t="n">
        <v>58</v>
      </c>
      <c r="F50" s="29">
        <f>IF(D50="",0,D50*E50)</f>
        <v/>
      </c>
      <c r="G50" s="29">
        <f>F50*0.19</f>
        <v/>
      </c>
      <c r="H50" s="29">
        <f>F50+G50</f>
        <v/>
      </c>
    </row>
    <row r="51">
      <c r="A51" s="26" t="inlineStr">
        <is>
          <t>EI.380</t>
        </is>
      </c>
      <c r="B51" s="27" t="inlineStr">
        <is>
          <t>FI/LS-Kombiautomat komplett eingebaut</t>
        </is>
      </c>
      <c r="C51" s="26" t="inlineStr">
        <is>
          <t>Stk</t>
        </is>
      </c>
      <c r="D51" s="28" t="n"/>
      <c r="E51" s="29" t="n">
        <v>195</v>
      </c>
      <c r="F51" s="29">
        <f>IF(D51="",0,D51*E51)</f>
        <v/>
      </c>
      <c r="G51" s="29">
        <f>F51*0.19</f>
        <v/>
      </c>
      <c r="H51" s="29">
        <f>F51+G51</f>
        <v/>
      </c>
    </row>
    <row r="52">
      <c r="A52" s="26" t="inlineStr">
        <is>
          <t>EI.390</t>
        </is>
      </c>
      <c r="B52" s="27" t="inlineStr">
        <is>
          <t>Potentialausgleich komplett hergestellt</t>
        </is>
      </c>
      <c r="C52" s="26" t="inlineStr">
        <is>
          <t>psch.</t>
        </is>
      </c>
      <c r="D52" s="28" t="n"/>
      <c r="E52" s="29" t="n">
        <v>220</v>
      </c>
      <c r="F52" s="29">
        <f>IF(D52="",0,D52*E52)</f>
        <v/>
      </c>
      <c r="G52" s="29">
        <f>F52*0.19</f>
        <v/>
      </c>
      <c r="H52" s="29">
        <f>F52+G52</f>
        <v/>
      </c>
    </row>
    <row r="53">
      <c r="A53" s="30" t="n"/>
      <c r="B53" s="31" t="inlineStr">
        <is>
          <t>Zwischensumme – Mischpositionen (Material + Arbeit + Geräte komplett)</t>
        </is>
      </c>
      <c r="C53" s="30" t="n"/>
      <c r="D53" s="30" t="n"/>
      <c r="E53" s="30" t="n"/>
      <c r="F53" s="32">
        <f>SUM(F45:F52)</f>
        <v/>
      </c>
      <c r="G53" s="32">
        <f>SUM(G45:G52)</f>
        <v/>
      </c>
      <c r="H53" s="32">
        <f>SUM(H45:H52)</f>
        <v/>
      </c>
    </row>
    <row r="55">
      <c r="A55" s="36" t="n"/>
      <c r="B55" s="37" t="inlineStr">
        <is>
          <t>GESAMTSUMME 1. Elektroinstallation</t>
        </is>
      </c>
      <c r="C55" s="36" t="n"/>
      <c r="D55" s="36" t="n"/>
      <c r="E55" s="36" t="n"/>
      <c r="F55" s="38">
        <f>F20+F35+F42+F53</f>
        <v/>
      </c>
      <c r="G55" s="38">
        <f>G20+G35+G42+G53</f>
        <v/>
      </c>
      <c r="H55" s="38">
        <f>H20+H35+H42+H53</f>
        <v/>
      </c>
    </row>
  </sheetData>
  <mergeCells count="11">
    <mergeCell ref="A1:H1"/>
    <mergeCell ref="A4:H4"/>
    <mergeCell ref="B35:E35"/>
    <mergeCell ref="B53:E53"/>
    <mergeCell ref="A2:H2"/>
    <mergeCell ref="B55:E55"/>
    <mergeCell ref="A44:H44"/>
    <mergeCell ref="B20:E20"/>
    <mergeCell ref="A37:H37"/>
    <mergeCell ref="B42:E42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2. Wallbox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WB.010</t>
        </is>
      </c>
      <c r="B5" s="27" t="inlineStr">
        <is>
          <t>Wallbox 11 kW, geeicht</t>
        </is>
      </c>
      <c r="C5" s="26" t="inlineStr">
        <is>
          <t>Stk</t>
        </is>
      </c>
      <c r="D5" s="28" t="n"/>
      <c r="E5" s="29" t="n">
        <v>890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WB.020</t>
        </is>
      </c>
      <c r="B6" s="27" t="inlineStr">
        <is>
          <t>Wallbox 22 kW mit Lastmanagement</t>
        </is>
      </c>
      <c r="C6" s="26" t="inlineStr">
        <is>
          <t>Stk</t>
        </is>
      </c>
      <c r="D6" s="28" t="n"/>
      <c r="E6" s="29" t="n">
        <v>1490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WB.030</t>
        </is>
      </c>
      <c r="B7" s="27" t="inlineStr">
        <is>
          <t>NYY-J 5x6 mm² Erdkabel</t>
        </is>
      </c>
      <c r="C7" s="26" t="inlineStr">
        <is>
          <t>m</t>
        </is>
      </c>
      <c r="D7" s="28" t="n"/>
      <c r="E7" s="29" t="n">
        <v>6.8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WB.040</t>
        </is>
      </c>
      <c r="B8" s="27" t="inlineStr">
        <is>
          <t>NYY-J 5x10 mm² Erdkabel</t>
        </is>
      </c>
      <c r="C8" s="26" t="inlineStr">
        <is>
          <t>m</t>
        </is>
      </c>
      <c r="D8" s="28" t="n"/>
      <c r="E8" s="29" t="n">
        <v>9.6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WB.050</t>
        </is>
      </c>
      <c r="B9" s="27" t="inlineStr">
        <is>
          <t>FI-Schutzschalter Typ B, 25A/30mA</t>
        </is>
      </c>
      <c r="C9" s="26" t="inlineStr">
        <is>
          <t>Stk</t>
        </is>
      </c>
      <c r="D9" s="28" t="n"/>
      <c r="E9" s="29" t="n">
        <v>385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WB.060</t>
        </is>
      </c>
      <c r="B10" s="27" t="inlineStr">
        <is>
          <t>LS-Schalter B16/B20/B32</t>
        </is>
      </c>
      <c r="C10" s="26" t="inlineStr">
        <is>
          <t>Stk</t>
        </is>
      </c>
      <c r="D10" s="28" t="n"/>
      <c r="E10" s="29" t="n">
        <v>16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WB.070</t>
        </is>
      </c>
      <c r="B11" s="27" t="inlineStr">
        <is>
          <t>Leerrohr für Erdverlegung inkl. Kabelschutzrohr</t>
        </is>
      </c>
      <c r="C11" s="26" t="inlineStr">
        <is>
          <t>m</t>
        </is>
      </c>
      <c r="D11" s="28" t="n"/>
      <c r="E11" s="29" t="n">
        <v>4.2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26" t="inlineStr">
        <is>
          <t>WB.080</t>
        </is>
      </c>
      <c r="B12" s="27" t="inlineStr">
        <is>
          <t>Wallbox-Unterverteiler (Zählerschrank-Erweiterung)</t>
        </is>
      </c>
      <c r="C12" s="26" t="inlineStr">
        <is>
          <t>Stk</t>
        </is>
      </c>
      <c r="D12" s="28" t="n"/>
      <c r="E12" s="29" t="n">
        <v>220</v>
      </c>
      <c r="F12" s="29">
        <f>IF(D12="",0,D12*E12)</f>
        <v/>
      </c>
      <c r="G12" s="29">
        <f>F12*0.19</f>
        <v/>
      </c>
      <c r="H12" s="29">
        <f>F12+G12</f>
        <v/>
      </c>
    </row>
    <row r="13">
      <c r="A13" s="26" t="inlineStr">
        <is>
          <t>WB.090</t>
        </is>
      </c>
      <c r="B13" s="27" t="inlineStr">
        <is>
          <t>Energiezähler (MID-konform)</t>
        </is>
      </c>
      <c r="C13" s="26" t="inlineStr">
        <is>
          <t>Stk</t>
        </is>
      </c>
      <c r="D13" s="28" t="n"/>
      <c r="E13" s="29" t="n">
        <v>145</v>
      </c>
      <c r="F13" s="29">
        <f>IF(D13="",0,D13*E13)</f>
        <v/>
      </c>
      <c r="G13" s="29">
        <f>F13*0.19</f>
        <v/>
      </c>
      <c r="H13" s="29">
        <f>F13+G13</f>
        <v/>
      </c>
    </row>
    <row r="14">
      <c r="A14" s="30" t="n"/>
      <c r="B14" s="31" t="inlineStr">
        <is>
          <t>Zwischensumme – Material</t>
        </is>
      </c>
      <c r="C14" s="30" t="n"/>
      <c r="D14" s="30" t="n"/>
      <c r="E14" s="30" t="n"/>
      <c r="F14" s="32">
        <f>SUM(F5:F13)</f>
        <v/>
      </c>
      <c r="G14" s="32">
        <f>SUM(G5:G13)</f>
        <v/>
      </c>
      <c r="H14" s="32">
        <f>SUM(H5:H13)</f>
        <v/>
      </c>
    </row>
    <row r="16">
      <c r="A16" s="33" t="inlineStr">
        <is>
          <t>Arbeitsleistung / Lohn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>
      <c r="A17" s="26" t="inlineStr">
        <is>
          <t>WB.100</t>
        </is>
      </c>
      <c r="B17" s="27" t="inlineStr">
        <is>
          <t>Facharbeiterstunde Wallbox-Montage</t>
        </is>
      </c>
      <c r="C17" s="26" t="inlineStr">
        <is>
          <t>h</t>
        </is>
      </c>
      <c r="D17" s="28" t="n"/>
      <c r="E17" s="29" t="n">
        <v>68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26" t="inlineStr">
        <is>
          <t>WB.110</t>
        </is>
      </c>
      <c r="B18" s="27" t="inlineStr">
        <is>
          <t>Montage Wallbox an Wand / Stele</t>
        </is>
      </c>
      <c r="C18" s="26" t="inlineStr">
        <is>
          <t>Stk</t>
        </is>
      </c>
      <c r="D18" s="28" t="n"/>
      <c r="E18" s="29" t="n">
        <v>120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WB.120</t>
        </is>
      </c>
      <c r="B19" s="27" t="inlineStr">
        <is>
          <t>Kabelverlegung Innen (UP/AP)</t>
        </is>
      </c>
      <c r="C19" s="26" t="inlineStr">
        <is>
          <t>m</t>
        </is>
      </c>
      <c r="D19" s="28" t="n"/>
      <c r="E19" s="29" t="n">
        <v>12.5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WB.130</t>
        </is>
      </c>
      <c r="B20" s="27" t="inlineStr">
        <is>
          <t>Kabelverlegung Erdreich inkl. Grabenaushub (Hand)</t>
        </is>
      </c>
      <c r="C20" s="26" t="inlineStr">
        <is>
          <t>m</t>
        </is>
      </c>
      <c r="D20" s="28" t="n"/>
      <c r="E20" s="29" t="n">
        <v>28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26" t="inlineStr">
        <is>
          <t>WB.140</t>
        </is>
      </c>
      <c r="B21" s="27" t="inlineStr">
        <is>
          <t>Kernbohrung Wanddurchbruch</t>
        </is>
      </c>
      <c r="C21" s="26" t="inlineStr">
        <is>
          <t>Stk</t>
        </is>
      </c>
      <c r="D21" s="28" t="n"/>
      <c r="E21" s="29" t="n">
        <v>65</v>
      </c>
      <c r="F21" s="29">
        <f>IF(D21="",0,D21*E21)</f>
        <v/>
      </c>
      <c r="G21" s="29">
        <f>F21*0.19</f>
        <v/>
      </c>
      <c r="H21" s="29">
        <f>F21+G21</f>
        <v/>
      </c>
    </row>
    <row r="22">
      <c r="A22" s="26" t="inlineStr">
        <is>
          <t>WB.150</t>
        </is>
      </c>
      <c r="B22" s="27" t="inlineStr">
        <is>
          <t>Anmeldung / Genehmigung beim Netzbetreiber</t>
        </is>
      </c>
      <c r="C22" s="26" t="inlineStr">
        <is>
          <t>psch.</t>
        </is>
      </c>
      <c r="D22" s="28" t="n"/>
      <c r="E22" s="29" t="n">
        <v>85</v>
      </c>
      <c r="F22" s="29">
        <f>IF(D22="",0,D22*E22)</f>
        <v/>
      </c>
      <c r="G22" s="29">
        <f>F22*0.19</f>
        <v/>
      </c>
      <c r="H22" s="29">
        <f>F22+G22</f>
        <v/>
      </c>
    </row>
    <row r="23">
      <c r="A23" s="26" t="inlineStr">
        <is>
          <t>WB.160</t>
        </is>
      </c>
      <c r="B23" s="27" t="inlineStr">
        <is>
          <t>Inbetriebnahme u. Messprotokoll (VDE 0100-600)</t>
        </is>
      </c>
      <c r="C23" s="26" t="inlineStr">
        <is>
          <t>psch.</t>
        </is>
      </c>
      <c r="D23" s="28" t="n"/>
      <c r="E23" s="29" t="n">
        <v>95</v>
      </c>
      <c r="F23" s="29">
        <f>IF(D23="",0,D23*E23)</f>
        <v/>
      </c>
      <c r="G23" s="29">
        <f>F23*0.19</f>
        <v/>
      </c>
      <c r="H23" s="29">
        <f>F23+G23</f>
        <v/>
      </c>
    </row>
    <row r="24">
      <c r="A24" s="26" t="inlineStr">
        <is>
          <t>WB.170</t>
        </is>
      </c>
      <c r="B24" s="27" t="inlineStr">
        <is>
          <t>Anfahrtspauschale</t>
        </is>
      </c>
      <c r="C24" s="26" t="inlineStr">
        <is>
          <t>psch.</t>
        </is>
      </c>
      <c r="D24" s="28" t="n"/>
      <c r="E24" s="29" t="n">
        <v>39</v>
      </c>
      <c r="F24" s="29">
        <f>IF(D24="",0,D24*E24)</f>
        <v/>
      </c>
      <c r="G24" s="29">
        <f>F24*0.19</f>
        <v/>
      </c>
      <c r="H24" s="29">
        <f>F24+G24</f>
        <v/>
      </c>
    </row>
    <row r="25">
      <c r="A25" s="30" t="n"/>
      <c r="B25" s="31" t="inlineStr">
        <is>
          <t>Zwischensumme – Arbeitsleistung / Lohn</t>
        </is>
      </c>
      <c r="C25" s="30" t="n"/>
      <c r="D25" s="30" t="n"/>
      <c r="E25" s="30" t="n"/>
      <c r="F25" s="32">
        <f>SUM(F17:F24)</f>
        <v/>
      </c>
      <c r="G25" s="32">
        <f>SUM(G17:G24)</f>
        <v/>
      </c>
      <c r="H25" s="32">
        <f>SUM(H17:H24)</f>
        <v/>
      </c>
    </row>
    <row r="27">
      <c r="A27" s="35" t="inlineStr">
        <is>
          <t>Mischpositionen (Material + Arbeit + Geräte komplett)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>
      <c r="A28" s="26" t="inlineStr">
        <is>
          <t>WB.180</t>
        </is>
      </c>
      <c r="B28" s="27" t="inlineStr">
        <is>
          <t>Wallbox-Komplettpaket 11 kW, bis 15 m Kabelweg</t>
        </is>
      </c>
      <c r="C28" s="26" t="inlineStr">
        <is>
          <t>psch.</t>
        </is>
      </c>
      <c r="D28" s="28" t="n"/>
      <c r="E28" s="29" t="n">
        <v>1690</v>
      </c>
      <c r="F28" s="29">
        <f>IF(D28="",0,D28*E28)</f>
        <v/>
      </c>
      <c r="G28" s="29">
        <f>F28*0.19</f>
        <v/>
      </c>
      <c r="H28" s="29">
        <f>F28+G28</f>
        <v/>
      </c>
    </row>
    <row r="29">
      <c r="A29" s="26" t="inlineStr">
        <is>
          <t>WB.190</t>
        </is>
      </c>
      <c r="B29" s="27" t="inlineStr">
        <is>
          <t>Wallbox-Komplettpaket 22 kW mit Lastmanagement</t>
        </is>
      </c>
      <c r="C29" s="26" t="inlineStr">
        <is>
          <t>psch.</t>
        </is>
      </c>
      <c r="D29" s="28" t="n"/>
      <c r="E29" s="29" t="n">
        <v>2390</v>
      </c>
      <c r="F29" s="29">
        <f>IF(D29="",0,D29*E29)</f>
        <v/>
      </c>
      <c r="G29" s="29">
        <f>F29*0.19</f>
        <v/>
      </c>
      <c r="H29" s="29">
        <f>F29+G29</f>
        <v/>
      </c>
    </row>
    <row r="30">
      <c r="A30" s="26" t="inlineStr">
        <is>
          <t>WB.200</t>
        </is>
      </c>
      <c r="B30" s="27" t="inlineStr">
        <is>
          <t>Zusatzkabelweg über 15 m, Erdverlegung (je weitere m)</t>
        </is>
      </c>
      <c r="C30" s="26" t="inlineStr">
        <is>
          <t>m</t>
        </is>
      </c>
      <c r="D30" s="28" t="n"/>
      <c r="E30" s="29" t="n">
        <v>38</v>
      </c>
      <c r="F30" s="29">
        <f>IF(D30="",0,D30*E30)</f>
        <v/>
      </c>
      <c r="G30" s="29">
        <f>F30*0.19</f>
        <v/>
      </c>
      <c r="H30" s="29">
        <f>F30+G30</f>
        <v/>
      </c>
    </row>
    <row r="31">
      <c r="A31" s="26" t="inlineStr">
        <is>
          <t>WB.210</t>
        </is>
      </c>
      <c r="B31" s="27" t="inlineStr">
        <is>
          <t>Zweite Wallbox mit Lastmanagement-Anbindung komplett</t>
        </is>
      </c>
      <c r="C31" s="26" t="inlineStr">
        <is>
          <t>psch.</t>
        </is>
      </c>
      <c r="D31" s="28" t="n"/>
      <c r="E31" s="29" t="n">
        <v>990</v>
      </c>
      <c r="F31" s="29">
        <f>IF(D31="",0,D31*E31)</f>
        <v/>
      </c>
      <c r="G31" s="29">
        <f>F31*0.19</f>
        <v/>
      </c>
      <c r="H31" s="29">
        <f>F31+G31</f>
        <v/>
      </c>
    </row>
    <row r="32">
      <c r="A32" s="30" t="n"/>
      <c r="B32" s="31" t="inlineStr">
        <is>
          <t>Zwischensumme – Mischpositionen (Material + Arbeit + Geräte komplett)</t>
        </is>
      </c>
      <c r="C32" s="30" t="n"/>
      <c r="D32" s="30" t="n"/>
      <c r="E32" s="30" t="n"/>
      <c r="F32" s="32">
        <f>SUM(F28:F31)</f>
        <v/>
      </c>
      <c r="G32" s="32">
        <f>SUM(G28:G31)</f>
        <v/>
      </c>
      <c r="H32" s="32">
        <f>SUM(H28:H31)</f>
        <v/>
      </c>
    </row>
    <row r="34">
      <c r="A34" s="36" t="n"/>
      <c r="B34" s="37" t="inlineStr">
        <is>
          <t>GESAMTSUMME 2. Wallbox</t>
        </is>
      </c>
      <c r="C34" s="36" t="n"/>
      <c r="D34" s="36" t="n"/>
      <c r="E34" s="36" t="n"/>
      <c r="F34" s="38">
        <f>F14+F25+F32</f>
        <v/>
      </c>
      <c r="G34" s="38">
        <f>G14+G25+G32</f>
        <v/>
      </c>
      <c r="H34" s="38">
        <f>H14+H25+H32</f>
        <v/>
      </c>
    </row>
  </sheetData>
  <mergeCells count="9">
    <mergeCell ref="A4:H4"/>
    <mergeCell ref="A16:H16"/>
    <mergeCell ref="A2:H2"/>
    <mergeCell ref="B34:E34"/>
    <mergeCell ref="B25:E25"/>
    <mergeCell ref="A1:H1"/>
    <mergeCell ref="A27:H27"/>
    <mergeCell ref="B14:E14"/>
    <mergeCell ref="B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3. Photovoltaik (Elektroanschluss)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PV.010</t>
        </is>
      </c>
      <c r="B5" s="27" t="inlineStr">
        <is>
          <t>AC-Zählerschrank-Kombination (PV-fähig)</t>
        </is>
      </c>
      <c r="C5" s="26" t="inlineStr">
        <is>
          <t>Stk</t>
        </is>
      </c>
      <c r="D5" s="28" t="n"/>
      <c r="E5" s="29" t="n">
        <v>450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PV.020</t>
        </is>
      </c>
      <c r="B6" s="27" t="inlineStr">
        <is>
          <t>AC-Kabel NYM-J 5x6 mm² Wechselrichteranschluss</t>
        </is>
      </c>
      <c r="C6" s="26" t="inlineStr">
        <is>
          <t>m</t>
        </is>
      </c>
      <c r="D6" s="28" t="n"/>
      <c r="E6" s="29" t="n">
        <v>6.5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PV.030</t>
        </is>
      </c>
      <c r="B7" s="27" t="inlineStr">
        <is>
          <t>FI-Schutzschalter Typ B (Wechselrichter)</t>
        </is>
      </c>
      <c r="C7" s="26" t="inlineStr">
        <is>
          <t>Stk</t>
        </is>
      </c>
      <c r="D7" s="28" t="n"/>
      <c r="E7" s="29" t="n">
        <v>385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PV.040</t>
        </is>
      </c>
      <c r="B8" s="27" t="inlineStr">
        <is>
          <t>Überspannungsschutz Typ 1+2 (AC-Seite)</t>
        </is>
      </c>
      <c r="C8" s="26" t="inlineStr">
        <is>
          <t>Stk</t>
        </is>
      </c>
      <c r="D8" s="28" t="n"/>
      <c r="E8" s="29" t="n">
        <v>165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PV.050</t>
        </is>
      </c>
      <c r="B9" s="27" t="inlineStr">
        <is>
          <t>Zweirichtungszähler-Vorbereitung</t>
        </is>
      </c>
      <c r="C9" s="26" t="inlineStr">
        <is>
          <t>Stk</t>
        </is>
      </c>
      <c r="D9" s="28" t="n"/>
      <c r="E9" s="29" t="n">
        <v>95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PV.060</t>
        </is>
      </c>
      <c r="B10" s="27" t="inlineStr">
        <is>
          <t>Backup-/Notstromsteckdose Set</t>
        </is>
      </c>
      <c r="C10" s="26" t="inlineStr">
        <is>
          <t>Stk</t>
        </is>
      </c>
      <c r="D10" s="28" t="n"/>
      <c r="E10" s="29" t="n">
        <v>245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PV.070</t>
        </is>
      </c>
      <c r="B11" s="27" t="inlineStr">
        <is>
          <t>Smart-Meter-Gateway Anschlussmaterial</t>
        </is>
      </c>
      <c r="C11" s="26" t="inlineStr">
        <is>
          <t>Stk</t>
        </is>
      </c>
      <c r="D11" s="28" t="n"/>
      <c r="E11" s="29" t="n">
        <v>85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30" t="n"/>
      <c r="B12" s="31" t="inlineStr">
        <is>
          <t>Zwischensumme – Material</t>
        </is>
      </c>
      <c r="C12" s="30" t="n"/>
      <c r="D12" s="30" t="n"/>
      <c r="E12" s="30" t="n"/>
      <c r="F12" s="32">
        <f>SUM(F5:F11)</f>
        <v/>
      </c>
      <c r="G12" s="32">
        <f>SUM(G5:G11)</f>
        <v/>
      </c>
      <c r="H12" s="32">
        <f>SUM(H5:H11)</f>
        <v/>
      </c>
    </row>
    <row r="14">
      <c r="A14" s="33" t="inlineStr">
        <is>
          <t>Arbeitsleistung / Lohn</t>
        </is>
      </c>
      <c r="B14" s="25" t="n"/>
      <c r="C14" s="25" t="n"/>
      <c r="D14" s="25" t="n"/>
      <c r="E14" s="25" t="n"/>
      <c r="F14" s="25" t="n"/>
      <c r="G14" s="25" t="n"/>
      <c r="H14" s="25" t="n"/>
    </row>
    <row r="15">
      <c r="A15" s="26" t="inlineStr">
        <is>
          <t>PV.080</t>
        </is>
      </c>
      <c r="B15" s="27" t="inlineStr">
        <is>
          <t>Facharbeiterstunde PV-Elektroanschluss</t>
        </is>
      </c>
      <c r="C15" s="26" t="inlineStr">
        <is>
          <t>h</t>
        </is>
      </c>
      <c r="D15" s="28" t="n"/>
      <c r="E15" s="29" t="n">
        <v>68</v>
      </c>
      <c r="F15" s="29">
        <f>IF(D15="",0,D15*E15)</f>
        <v/>
      </c>
      <c r="G15" s="29">
        <f>F15*0.19</f>
        <v/>
      </c>
      <c r="H15" s="29">
        <f>F15+G15</f>
        <v/>
      </c>
    </row>
    <row r="16">
      <c r="A16" s="26" t="inlineStr">
        <is>
          <t>PV.090</t>
        </is>
      </c>
      <c r="B16" s="27" t="inlineStr">
        <is>
          <t>Zählerschrank-Umbau für PV-Einspeisung</t>
        </is>
      </c>
      <c r="C16" s="26" t="inlineStr">
        <is>
          <t>psch.</t>
        </is>
      </c>
      <c r="D16" s="28" t="n"/>
      <c r="E16" s="29" t="n">
        <v>380</v>
      </c>
      <c r="F16" s="29">
        <f>IF(D16="",0,D16*E16)</f>
        <v/>
      </c>
      <c r="G16" s="29">
        <f>F16*0.19</f>
        <v/>
      </c>
      <c r="H16" s="29">
        <f>F16+G16</f>
        <v/>
      </c>
    </row>
    <row r="17">
      <c r="A17" s="26" t="inlineStr">
        <is>
          <t>PV.100</t>
        </is>
      </c>
      <c r="B17" s="27" t="inlineStr">
        <is>
          <t>AC-Anschluss Wechselrichter herstellen</t>
        </is>
      </c>
      <c r="C17" s="26" t="inlineStr">
        <is>
          <t>Stk</t>
        </is>
      </c>
      <c r="D17" s="28" t="n"/>
      <c r="E17" s="29" t="n">
        <v>145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26" t="inlineStr">
        <is>
          <t>PV.110</t>
        </is>
      </c>
      <c r="B18" s="27" t="inlineStr">
        <is>
          <t>Anmeldung Netzbetreiber (Einspeisezusage)</t>
        </is>
      </c>
      <c r="C18" s="26" t="inlineStr">
        <is>
          <t>psch.</t>
        </is>
      </c>
      <c r="D18" s="28" t="n"/>
      <c r="E18" s="29" t="n">
        <v>95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PV.120</t>
        </is>
      </c>
      <c r="B19" s="27" t="inlineStr">
        <is>
          <t>Anmeldung Marktstammdatenregister</t>
        </is>
      </c>
      <c r="C19" s="26" t="inlineStr">
        <is>
          <t>psch.</t>
        </is>
      </c>
      <c r="D19" s="28" t="n"/>
      <c r="E19" s="29" t="n">
        <v>45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PV.130</t>
        </is>
      </c>
      <c r="B20" s="27" t="inlineStr">
        <is>
          <t>Inbetriebnahme u. Messprotokoll</t>
        </is>
      </c>
      <c r="C20" s="26" t="inlineStr">
        <is>
          <t>psch.</t>
        </is>
      </c>
      <c r="D20" s="28" t="n"/>
      <c r="E20" s="29" t="n">
        <v>120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26" t="inlineStr">
        <is>
          <t>PV.140</t>
        </is>
      </c>
      <c r="B21" s="27" t="inlineStr">
        <is>
          <t>Anfahrtspauschale</t>
        </is>
      </c>
      <c r="C21" s="26" t="inlineStr">
        <is>
          <t>psch.</t>
        </is>
      </c>
      <c r="D21" s="28" t="n"/>
      <c r="E21" s="29" t="n">
        <v>39</v>
      </c>
      <c r="F21" s="29">
        <f>IF(D21="",0,D21*E21)</f>
        <v/>
      </c>
      <c r="G21" s="29">
        <f>F21*0.19</f>
        <v/>
      </c>
      <c r="H21" s="29">
        <f>F21+G21</f>
        <v/>
      </c>
    </row>
    <row r="22">
      <c r="A22" s="30" t="n"/>
      <c r="B22" s="31" t="inlineStr">
        <is>
          <t>Zwischensumme – Arbeitsleistung / Lohn</t>
        </is>
      </c>
      <c r="C22" s="30" t="n"/>
      <c r="D22" s="30" t="n"/>
      <c r="E22" s="30" t="n"/>
      <c r="F22" s="32">
        <f>SUM(F15:F21)</f>
        <v/>
      </c>
      <c r="G22" s="32">
        <f>SUM(G15:G21)</f>
        <v/>
      </c>
      <c r="H22" s="32">
        <f>SUM(H15:H21)</f>
        <v/>
      </c>
    </row>
    <row r="24">
      <c r="A24" s="35" t="inlineStr">
        <is>
          <t>Mischpositionen (Material + Arbeit + Geräte komplett)</t>
        </is>
      </c>
      <c r="B24" s="25" t="n"/>
      <c r="C24" s="25" t="n"/>
      <c r="D24" s="25" t="n"/>
      <c r="E24" s="25" t="n"/>
      <c r="F24" s="25" t="n"/>
      <c r="G24" s="25" t="n"/>
      <c r="H24" s="25" t="n"/>
    </row>
    <row r="25">
      <c r="A25" s="26" t="inlineStr">
        <is>
          <t>PV.150</t>
        </is>
      </c>
      <c r="B25" s="27" t="inlineStr">
        <is>
          <t>PV-Elektroanschluss Komplettpaket bis 10 kWp</t>
        </is>
      </c>
      <c r="C25" s="26" t="inlineStr">
        <is>
          <t>psch.</t>
        </is>
      </c>
      <c r="D25" s="28" t="n"/>
      <c r="E25" s="29" t="n">
        <v>1450</v>
      </c>
      <c r="F25" s="29">
        <f>IF(D25="",0,D25*E25)</f>
        <v/>
      </c>
      <c r="G25" s="29">
        <f>F25*0.19</f>
        <v/>
      </c>
      <c r="H25" s="29">
        <f>F25+G25</f>
        <v/>
      </c>
    </row>
    <row r="26">
      <c r="A26" s="26" t="inlineStr">
        <is>
          <t>PV.160</t>
        </is>
      </c>
      <c r="B26" s="27" t="inlineStr">
        <is>
          <t>PV-Elektroanschluss Komplettpaket 10–30 kWp</t>
        </is>
      </c>
      <c r="C26" s="26" t="inlineStr">
        <is>
          <t>psch.</t>
        </is>
      </c>
      <c r="D26" s="28" t="n"/>
      <c r="E26" s="29" t="n">
        <v>2190</v>
      </c>
      <c r="F26" s="29">
        <f>IF(D26="",0,D26*E26)</f>
        <v/>
      </c>
      <c r="G26" s="29">
        <f>F26*0.19</f>
        <v/>
      </c>
      <c r="H26" s="29">
        <f>F26+G26</f>
        <v/>
      </c>
    </row>
    <row r="27">
      <c r="A27" s="26" t="inlineStr">
        <is>
          <t>PV.170</t>
        </is>
      </c>
      <c r="B27" s="27" t="inlineStr">
        <is>
          <t>Speicher-Nachrüstung elektroseitig komplett</t>
        </is>
      </c>
      <c r="C27" s="26" t="inlineStr">
        <is>
          <t>psch.</t>
        </is>
      </c>
      <c r="D27" s="28" t="n"/>
      <c r="E27" s="29" t="n">
        <v>890</v>
      </c>
      <c r="F27" s="29">
        <f>IF(D27="",0,D27*E27)</f>
        <v/>
      </c>
      <c r="G27" s="29">
        <f>F27*0.19</f>
        <v/>
      </c>
      <c r="H27" s="29">
        <f>F27+G27</f>
        <v/>
      </c>
    </row>
    <row r="28">
      <c r="A28" s="26" t="inlineStr">
        <is>
          <t>PV.180</t>
        </is>
      </c>
      <c r="B28" s="27" t="inlineStr">
        <is>
          <t>Notstrom-/Ersatzstromanschluss komplett</t>
        </is>
      </c>
      <c r="C28" s="26" t="inlineStr">
        <is>
          <t>psch.</t>
        </is>
      </c>
      <c r="D28" s="28" t="n"/>
      <c r="E28" s="29" t="n">
        <v>690</v>
      </c>
      <c r="F28" s="29">
        <f>IF(D28="",0,D28*E28)</f>
        <v/>
      </c>
      <c r="G28" s="29">
        <f>F28*0.19</f>
        <v/>
      </c>
      <c r="H28" s="29">
        <f>F28+G28</f>
        <v/>
      </c>
    </row>
    <row r="29">
      <c r="A29" s="30" t="n"/>
      <c r="B29" s="31" t="inlineStr">
        <is>
          <t>Zwischensumme – Mischpositionen (Material + Arbeit + Geräte komplett)</t>
        </is>
      </c>
      <c r="C29" s="30" t="n"/>
      <c r="D29" s="30" t="n"/>
      <c r="E29" s="30" t="n"/>
      <c r="F29" s="32">
        <f>SUM(F25:F28)</f>
        <v/>
      </c>
      <c r="G29" s="32">
        <f>SUM(G25:G28)</f>
        <v/>
      </c>
      <c r="H29" s="32">
        <f>SUM(H25:H28)</f>
        <v/>
      </c>
    </row>
    <row r="31">
      <c r="A31" s="36" t="n"/>
      <c r="B31" s="37" t="inlineStr">
        <is>
          <t>GESAMTSUMME 3. Photovoltaik (Elektroanschluss)</t>
        </is>
      </c>
      <c r="C31" s="36" t="n"/>
      <c r="D31" s="36" t="n"/>
      <c r="E31" s="36" t="n"/>
      <c r="F31" s="38">
        <f>F12+F22+F29</f>
        <v/>
      </c>
      <c r="G31" s="38">
        <f>G12+G22+G29</f>
        <v/>
      </c>
      <c r="H31" s="38">
        <f>H12+H22+H29</f>
        <v/>
      </c>
    </row>
  </sheetData>
  <mergeCells count="9">
    <mergeCell ref="A4:H4"/>
    <mergeCell ref="B31:E31"/>
    <mergeCell ref="B12:E12"/>
    <mergeCell ref="A24:H24"/>
    <mergeCell ref="A2:H2"/>
    <mergeCell ref="B29:E29"/>
    <mergeCell ref="A14:H14"/>
    <mergeCell ref="A1:H1"/>
    <mergeCell ref="B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4. Beleuchtung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BL.010</t>
        </is>
      </c>
      <c r="B5" s="27" t="inlineStr">
        <is>
          <t>LED-Panel 62x62 cm, 40 W</t>
        </is>
      </c>
      <c r="C5" s="26" t="inlineStr">
        <is>
          <t>Stk</t>
        </is>
      </c>
      <c r="D5" s="28" t="n"/>
      <c r="E5" s="29" t="n">
        <v>68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BL.020</t>
        </is>
      </c>
      <c r="B6" s="27" t="inlineStr">
        <is>
          <t>LED-Einbaustrahler-Set (dimmbar)</t>
        </is>
      </c>
      <c r="C6" s="26" t="inlineStr">
        <is>
          <t>Stk</t>
        </is>
      </c>
      <c r="D6" s="28" t="n"/>
      <c r="E6" s="29" t="n">
        <v>24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BL.030</t>
        </is>
      </c>
      <c r="B7" s="27" t="inlineStr">
        <is>
          <t>Bewegungsmelder UP/AP</t>
        </is>
      </c>
      <c r="C7" s="26" t="inlineStr">
        <is>
          <t>Stk</t>
        </is>
      </c>
      <c r="D7" s="28" t="n"/>
      <c r="E7" s="29" t="n">
        <v>32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BL.040</t>
        </is>
      </c>
      <c r="B8" s="27" t="inlineStr">
        <is>
          <t>Dimmer-Einsatz (Phasenan-/-abschnitt)</t>
        </is>
      </c>
      <c r="C8" s="26" t="inlineStr">
        <is>
          <t>Stk</t>
        </is>
      </c>
      <c r="D8" s="28" t="n"/>
      <c r="E8" s="29" t="n">
        <v>45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BL.050</t>
        </is>
      </c>
      <c r="B9" s="27" t="inlineStr">
        <is>
          <t>Trafo / Netzteil LED 12V/24V</t>
        </is>
      </c>
      <c r="C9" s="26" t="inlineStr">
        <is>
          <t>Stk</t>
        </is>
      </c>
      <c r="D9" s="28" t="n"/>
      <c r="E9" s="29" t="n">
        <v>38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BL.060</t>
        </is>
      </c>
      <c r="B10" s="27" t="inlineStr">
        <is>
          <t>Lichtschiene 3-Phasen inkl. Zubehör</t>
        </is>
      </c>
      <c r="C10" s="26" t="inlineStr">
        <is>
          <t>m</t>
        </is>
      </c>
      <c r="D10" s="28" t="n"/>
      <c r="E10" s="29" t="n">
        <v>42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BL.070</t>
        </is>
      </c>
      <c r="B11" s="27" t="inlineStr">
        <is>
          <t>Pendelleuchten-Anschlussdose</t>
        </is>
      </c>
      <c r="C11" s="26" t="inlineStr">
        <is>
          <t>Stk</t>
        </is>
      </c>
      <c r="D11" s="28" t="n"/>
      <c r="E11" s="29" t="n">
        <v>12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30" t="n"/>
      <c r="B12" s="31" t="inlineStr">
        <is>
          <t>Zwischensumme – Material</t>
        </is>
      </c>
      <c r="C12" s="30" t="n"/>
      <c r="D12" s="30" t="n"/>
      <c r="E12" s="30" t="n"/>
      <c r="F12" s="32">
        <f>SUM(F5:F11)</f>
        <v/>
      </c>
      <c r="G12" s="32">
        <f>SUM(G5:G11)</f>
        <v/>
      </c>
      <c r="H12" s="32">
        <f>SUM(H5:H11)</f>
        <v/>
      </c>
    </row>
    <row r="14">
      <c r="A14" s="33" t="inlineStr">
        <is>
          <t>Arbeitsleistung / Lohn</t>
        </is>
      </c>
      <c r="B14" s="25" t="n"/>
      <c r="C14" s="25" t="n"/>
      <c r="D14" s="25" t="n"/>
      <c r="E14" s="25" t="n"/>
      <c r="F14" s="25" t="n"/>
      <c r="G14" s="25" t="n"/>
      <c r="H14" s="25" t="n"/>
    </row>
    <row r="15">
      <c r="A15" s="26" t="inlineStr">
        <is>
          <t>BL.080</t>
        </is>
      </c>
      <c r="B15" s="27" t="inlineStr">
        <is>
          <t>Facharbeiterstunde Beleuchtungstechnik</t>
        </is>
      </c>
      <c r="C15" s="26" t="inlineStr">
        <is>
          <t>h</t>
        </is>
      </c>
      <c r="D15" s="28" t="n"/>
      <c r="E15" s="29" t="n">
        <v>68</v>
      </c>
      <c r="F15" s="29">
        <f>IF(D15="",0,D15*E15)</f>
        <v/>
      </c>
      <c r="G15" s="29">
        <f>F15*0.19</f>
        <v/>
      </c>
      <c r="H15" s="29">
        <f>F15+G15</f>
        <v/>
      </c>
    </row>
    <row r="16">
      <c r="A16" s="26" t="inlineStr">
        <is>
          <t>BL.090</t>
        </is>
      </c>
      <c r="B16" s="27" t="inlineStr">
        <is>
          <t>Lichtplanung / Beratung vor Ort</t>
        </is>
      </c>
      <c r="C16" s="26" t="inlineStr">
        <is>
          <t>psch.</t>
        </is>
      </c>
      <c r="D16" s="28" t="n"/>
      <c r="E16" s="29" t="n">
        <v>95</v>
      </c>
      <c r="F16" s="29">
        <f>IF(D16="",0,D16*E16)</f>
        <v/>
      </c>
      <c r="G16" s="29">
        <f>F16*0.19</f>
        <v/>
      </c>
      <c r="H16" s="29">
        <f>F16+G16</f>
        <v/>
      </c>
    </row>
    <row r="17">
      <c r="A17" s="26" t="inlineStr">
        <is>
          <t>BL.100</t>
        </is>
      </c>
      <c r="B17" s="27" t="inlineStr">
        <is>
          <t>Leuchtenmontage (Decke / Wand)</t>
        </is>
      </c>
      <c r="C17" s="26" t="inlineStr">
        <is>
          <t>Stk</t>
        </is>
      </c>
      <c r="D17" s="28" t="n"/>
      <c r="E17" s="29" t="n">
        <v>28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26" t="inlineStr">
        <is>
          <t>BL.110</t>
        </is>
      </c>
      <c r="B18" s="27" t="inlineStr">
        <is>
          <t>Einbaustrahler-Montage inkl. Ausschnitt</t>
        </is>
      </c>
      <c r="C18" s="26" t="inlineStr">
        <is>
          <t>Stk</t>
        </is>
      </c>
      <c r="D18" s="28" t="n"/>
      <c r="E18" s="29" t="n">
        <v>22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BL.120</t>
        </is>
      </c>
      <c r="B19" s="27" t="inlineStr">
        <is>
          <t>DALI-/Bussteuerleitung verlegen</t>
        </is>
      </c>
      <c r="C19" s="26" t="inlineStr">
        <is>
          <t>m</t>
        </is>
      </c>
      <c r="D19" s="28" t="n"/>
      <c r="E19" s="29" t="n">
        <v>8.5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BL.130</t>
        </is>
      </c>
      <c r="B20" s="27" t="inlineStr">
        <is>
          <t>Anfahrtspauschale</t>
        </is>
      </c>
      <c r="C20" s="26" t="inlineStr">
        <is>
          <t>psch.</t>
        </is>
      </c>
      <c r="D20" s="28" t="n"/>
      <c r="E20" s="29" t="n">
        <v>39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30" t="n"/>
      <c r="B21" s="31" t="inlineStr">
        <is>
          <t>Zwischensumme – Arbeitsleistung / Lohn</t>
        </is>
      </c>
      <c r="C21" s="30" t="n"/>
      <c r="D21" s="30" t="n"/>
      <c r="E21" s="30" t="n"/>
      <c r="F21" s="32">
        <f>SUM(F15:F20)</f>
        <v/>
      </c>
      <c r="G21" s="32">
        <f>SUM(G15:G20)</f>
        <v/>
      </c>
      <c r="H21" s="32">
        <f>SUM(H15:H20)</f>
        <v/>
      </c>
    </row>
    <row r="23">
      <c r="A23" s="35" t="inlineStr">
        <is>
          <t>Mischpositionen (Material + Arbeit + Geräte komplett)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>
      <c r="A24" s="26" t="inlineStr">
        <is>
          <t>BL.140</t>
        </is>
      </c>
      <c r="B24" s="27" t="inlineStr">
        <is>
          <t>Einbaustrahler-Set komplett (5 Stk. inkl. Montage)</t>
        </is>
      </c>
      <c r="C24" s="26" t="inlineStr">
        <is>
          <t>psch.</t>
        </is>
      </c>
      <c r="D24" s="28" t="n"/>
      <c r="E24" s="29" t="n">
        <v>245</v>
      </c>
      <c r="F24" s="29">
        <f>IF(D24="",0,D24*E24)</f>
        <v/>
      </c>
      <c r="G24" s="29">
        <f>F24*0.19</f>
        <v/>
      </c>
      <c r="H24" s="29">
        <f>F24+G24</f>
        <v/>
      </c>
    </row>
    <row r="25">
      <c r="A25" s="26" t="inlineStr">
        <is>
          <t>BL.150</t>
        </is>
      </c>
      <c r="B25" s="27" t="inlineStr">
        <is>
          <t>Zimmerbeleuchtung Komplettpaket (Decke + Schalter)</t>
        </is>
      </c>
      <c r="C25" s="26" t="inlineStr">
        <is>
          <t>psch.</t>
        </is>
      </c>
      <c r="D25" s="28" t="n"/>
      <c r="E25" s="29" t="n">
        <v>185</v>
      </c>
      <c r="F25" s="29">
        <f>IF(D25="",0,D25*E25)</f>
        <v/>
      </c>
      <c r="G25" s="29">
        <f>F25*0.19</f>
        <v/>
      </c>
      <c r="H25" s="29">
        <f>F25+G25</f>
        <v/>
      </c>
    </row>
    <row r="26">
      <c r="A26" s="26" t="inlineStr">
        <is>
          <t>BL.160</t>
        </is>
      </c>
      <c r="B26" s="27" t="inlineStr">
        <is>
          <t>Außenbeleuchtung Komplettpaket inkl. Bewegungsmelder</t>
        </is>
      </c>
      <c r="C26" s="26" t="inlineStr">
        <is>
          <t>psch.</t>
        </is>
      </c>
      <c r="D26" s="28" t="n"/>
      <c r="E26" s="29" t="n">
        <v>320</v>
      </c>
      <c r="F26" s="29">
        <f>IF(D26="",0,D26*E26)</f>
        <v/>
      </c>
      <c r="G26" s="29">
        <f>F26*0.19</f>
        <v/>
      </c>
      <c r="H26" s="29">
        <f>F26+G26</f>
        <v/>
      </c>
    </row>
    <row r="27">
      <c r="A27" s="26" t="inlineStr">
        <is>
          <t>BL.170</t>
        </is>
      </c>
      <c r="B27" s="27" t="inlineStr">
        <is>
          <t>LED-Umrüstung pro Leuchtstelle komplett</t>
        </is>
      </c>
      <c r="C27" s="26" t="inlineStr">
        <is>
          <t>Stk</t>
        </is>
      </c>
      <c r="D27" s="28" t="n"/>
      <c r="E27" s="29" t="n">
        <v>55</v>
      </c>
      <c r="F27" s="29">
        <f>IF(D27="",0,D27*E27)</f>
        <v/>
      </c>
      <c r="G27" s="29">
        <f>F27*0.19</f>
        <v/>
      </c>
      <c r="H27" s="29">
        <f>F27+G27</f>
        <v/>
      </c>
    </row>
    <row r="28">
      <c r="A28" s="30" t="n"/>
      <c r="B28" s="31" t="inlineStr">
        <is>
          <t>Zwischensumme – Mischpositionen (Material + Arbeit + Geräte komplett)</t>
        </is>
      </c>
      <c r="C28" s="30" t="n"/>
      <c r="D28" s="30" t="n"/>
      <c r="E28" s="30" t="n"/>
      <c r="F28" s="32">
        <f>SUM(F24:F27)</f>
        <v/>
      </c>
      <c r="G28" s="32">
        <f>SUM(G24:G27)</f>
        <v/>
      </c>
      <c r="H28" s="32">
        <f>SUM(H24:H27)</f>
        <v/>
      </c>
    </row>
    <row r="30">
      <c r="A30" s="36" t="n"/>
      <c r="B30" s="37" t="inlineStr">
        <is>
          <t>GESAMTSUMME 4. Beleuchtung</t>
        </is>
      </c>
      <c r="C30" s="36" t="n"/>
      <c r="D30" s="36" t="n"/>
      <c r="E30" s="36" t="n"/>
      <c r="F30" s="38">
        <f>F12+F21+F28</f>
        <v/>
      </c>
      <c r="G30" s="38">
        <f>G12+G21+G28</f>
        <v/>
      </c>
      <c r="H30" s="38">
        <f>H12+H21+H28</f>
        <v/>
      </c>
    </row>
  </sheetData>
  <mergeCells count="9">
    <mergeCell ref="A4:H4"/>
    <mergeCell ref="B12:E12"/>
    <mergeCell ref="A2:H2"/>
    <mergeCell ref="B21:E21"/>
    <mergeCell ref="B30:E30"/>
    <mergeCell ref="A14:H14"/>
    <mergeCell ref="A1:H1"/>
    <mergeCell ref="A23:H23"/>
    <mergeCell ref="B28:E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5. Smart Home (Allgemein)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SH.010</t>
        </is>
      </c>
      <c r="B5" s="27" t="inlineStr">
        <is>
          <t>KNX-Universal-Aktor 4-fach</t>
        </is>
      </c>
      <c r="C5" s="26" t="inlineStr">
        <is>
          <t>Stk</t>
        </is>
      </c>
      <c r="D5" s="28" t="n"/>
      <c r="E5" s="29" t="n">
        <v>145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SH.020</t>
        </is>
      </c>
      <c r="B6" s="27" t="inlineStr">
        <is>
          <t>KNX-Taster 2-fach mit Display</t>
        </is>
      </c>
      <c r="C6" s="26" t="inlineStr">
        <is>
          <t>Stk</t>
        </is>
      </c>
      <c r="D6" s="28" t="n"/>
      <c r="E6" s="29" t="n">
        <v>165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SH.030</t>
        </is>
      </c>
      <c r="B7" s="27" t="inlineStr">
        <is>
          <t>Smart-Home-Gateway / Server</t>
        </is>
      </c>
      <c r="C7" s="26" t="inlineStr">
        <is>
          <t>Stk</t>
        </is>
      </c>
      <c r="D7" s="28" t="n"/>
      <c r="E7" s="29" t="n">
        <v>320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SH.040</t>
        </is>
      </c>
      <c r="B8" s="27" t="inlineStr">
        <is>
          <t>Funk-Aktor Steckdose / Schaltaktor</t>
        </is>
      </c>
      <c r="C8" s="26" t="inlineStr">
        <is>
          <t>Stk</t>
        </is>
      </c>
      <c r="D8" s="28" t="n"/>
      <c r="E8" s="29" t="n">
        <v>55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SH.050</t>
        </is>
      </c>
      <c r="B9" s="27" t="inlineStr">
        <is>
          <t>Rollladen-/Jalousieaktor</t>
        </is>
      </c>
      <c r="C9" s="26" t="inlineStr">
        <is>
          <t>Stk</t>
        </is>
      </c>
      <c r="D9" s="28" t="n"/>
      <c r="E9" s="29" t="n">
        <v>68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SH.060</t>
        </is>
      </c>
      <c r="B10" s="27" t="inlineStr">
        <is>
          <t>Heizungsaktor (Fußbodenheizung/Thermostat)</t>
        </is>
      </c>
      <c r="C10" s="26" t="inlineStr">
        <is>
          <t>Stk</t>
        </is>
      </c>
      <c r="D10" s="28" t="n"/>
      <c r="E10" s="29" t="n">
        <v>58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SH.070</t>
        </is>
      </c>
      <c r="B11" s="27" t="inlineStr">
        <is>
          <t>Präsenzmelder KNX</t>
        </is>
      </c>
      <c r="C11" s="26" t="inlineStr">
        <is>
          <t>Stk</t>
        </is>
      </c>
      <c r="D11" s="28" t="n"/>
      <c r="E11" s="29" t="n">
        <v>95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30" t="n"/>
      <c r="B12" s="31" t="inlineStr">
        <is>
          <t>Zwischensumme – Material</t>
        </is>
      </c>
      <c r="C12" s="30" t="n"/>
      <c r="D12" s="30" t="n"/>
      <c r="E12" s="30" t="n"/>
      <c r="F12" s="32">
        <f>SUM(F5:F11)</f>
        <v/>
      </c>
      <c r="G12" s="32">
        <f>SUM(G5:G11)</f>
        <v/>
      </c>
      <c r="H12" s="32">
        <f>SUM(H5:H11)</f>
        <v/>
      </c>
    </row>
    <row r="14">
      <c r="A14" s="33" t="inlineStr">
        <is>
          <t>Arbeitsleistung / Lohn</t>
        </is>
      </c>
      <c r="B14" s="25" t="n"/>
      <c r="C14" s="25" t="n"/>
      <c r="D14" s="25" t="n"/>
      <c r="E14" s="25" t="n"/>
      <c r="F14" s="25" t="n"/>
      <c r="G14" s="25" t="n"/>
      <c r="H14" s="25" t="n"/>
    </row>
    <row r="15">
      <c r="A15" s="26" t="inlineStr">
        <is>
          <t>SH.080</t>
        </is>
      </c>
      <c r="B15" s="27" t="inlineStr">
        <is>
          <t>Facharbeiterstunde Smart-Home-Installation</t>
        </is>
      </c>
      <c r="C15" s="26" t="inlineStr">
        <is>
          <t>h</t>
        </is>
      </c>
      <c r="D15" s="28" t="n"/>
      <c r="E15" s="29" t="n">
        <v>68</v>
      </c>
      <c r="F15" s="29">
        <f>IF(D15="",0,D15*E15)</f>
        <v/>
      </c>
      <c r="G15" s="29">
        <f>F15*0.19</f>
        <v/>
      </c>
      <c r="H15" s="29">
        <f>F15+G15</f>
        <v/>
      </c>
    </row>
    <row r="16">
      <c r="A16" s="26" t="inlineStr">
        <is>
          <t>SH.090</t>
        </is>
      </c>
      <c r="B16" s="27" t="inlineStr">
        <is>
          <t>Systemplanung / Beratung</t>
        </is>
      </c>
      <c r="C16" s="26" t="inlineStr">
        <is>
          <t>psch.</t>
        </is>
      </c>
      <c r="D16" s="28" t="n"/>
      <c r="E16" s="29" t="n">
        <v>120</v>
      </c>
      <c r="F16" s="29">
        <f>IF(D16="",0,D16*E16)</f>
        <v/>
      </c>
      <c r="G16" s="29">
        <f>F16*0.19</f>
        <v/>
      </c>
      <c r="H16" s="29">
        <f>F16+G16</f>
        <v/>
      </c>
    </row>
    <row r="17">
      <c r="A17" s="26" t="inlineStr">
        <is>
          <t>SH.100</t>
        </is>
      </c>
      <c r="B17" s="27" t="inlineStr">
        <is>
          <t>KNX-Programmierung je Raum</t>
        </is>
      </c>
      <c r="C17" s="26" t="inlineStr">
        <is>
          <t>Stk</t>
        </is>
      </c>
      <c r="D17" s="28" t="n"/>
      <c r="E17" s="29" t="n">
        <v>85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26" t="inlineStr">
        <is>
          <t>SH.110</t>
        </is>
      </c>
      <c r="B18" s="27" t="inlineStr">
        <is>
          <t>Inbetriebnahme Gesamtsystem</t>
        </is>
      </c>
      <c r="C18" s="26" t="inlineStr">
        <is>
          <t>psch.</t>
        </is>
      </c>
      <c r="D18" s="28" t="n"/>
      <c r="E18" s="29" t="n">
        <v>220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SH.120</t>
        </is>
      </c>
      <c r="B19" s="27" t="inlineStr">
        <is>
          <t>Einweisung Kunde (App / Bedienung)</t>
        </is>
      </c>
      <c r="C19" s="26" t="inlineStr">
        <is>
          <t>psch.</t>
        </is>
      </c>
      <c r="D19" s="28" t="n"/>
      <c r="E19" s="29" t="n">
        <v>65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SH.130</t>
        </is>
      </c>
      <c r="B20" s="27" t="inlineStr">
        <is>
          <t>Anfahrtspauschale</t>
        </is>
      </c>
      <c r="C20" s="26" t="inlineStr">
        <is>
          <t>psch.</t>
        </is>
      </c>
      <c r="D20" s="28" t="n"/>
      <c r="E20" s="29" t="n">
        <v>39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30" t="n"/>
      <c r="B21" s="31" t="inlineStr">
        <is>
          <t>Zwischensumme – Arbeitsleistung / Lohn</t>
        </is>
      </c>
      <c r="C21" s="30" t="n"/>
      <c r="D21" s="30" t="n"/>
      <c r="E21" s="30" t="n"/>
      <c r="F21" s="32">
        <f>SUM(F15:F20)</f>
        <v/>
      </c>
      <c r="G21" s="32">
        <f>SUM(G15:G20)</f>
        <v/>
      </c>
      <c r="H21" s="32">
        <f>SUM(H15:H20)</f>
        <v/>
      </c>
    </row>
    <row r="23">
      <c r="A23" s="35" t="inlineStr">
        <is>
          <t>Mischpositionen (Material + Arbeit + Geräte komplett)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>
      <c r="A24" s="26" t="inlineStr">
        <is>
          <t>SH.140</t>
        </is>
      </c>
      <c r="B24" s="27" t="inlineStr">
        <is>
          <t>Smart-Home Starter-Paket (3 Räume, Licht + Rollladen)</t>
        </is>
      </c>
      <c r="C24" s="26" t="inlineStr">
        <is>
          <t>psch.</t>
        </is>
      </c>
      <c r="D24" s="28" t="n"/>
      <c r="E24" s="29" t="n">
        <v>1690</v>
      </c>
      <c r="F24" s="29">
        <f>IF(D24="",0,D24*E24)</f>
        <v/>
      </c>
      <c r="G24" s="29">
        <f>F24*0.19</f>
        <v/>
      </c>
      <c r="H24" s="29">
        <f>F24+G24</f>
        <v/>
      </c>
    </row>
    <row r="25">
      <c r="A25" s="26" t="inlineStr">
        <is>
          <t>SH.150</t>
        </is>
      </c>
      <c r="B25" s="27" t="inlineStr">
        <is>
          <t>Raumsteuerung komplett (Licht/Heizung/Rollladen je Raum)</t>
        </is>
      </c>
      <c r="C25" s="26" t="inlineStr">
        <is>
          <t>Stk</t>
        </is>
      </c>
      <c r="D25" s="28" t="n"/>
      <c r="E25" s="29" t="n">
        <v>385</v>
      </c>
      <c r="F25" s="29">
        <f>IF(D25="",0,D25*E25)</f>
        <v/>
      </c>
      <c r="G25" s="29">
        <f>F25*0.19</f>
        <v/>
      </c>
      <c r="H25" s="29">
        <f>F25+G25</f>
        <v/>
      </c>
    </row>
    <row r="26">
      <c r="A26" s="26" t="inlineStr">
        <is>
          <t>SH.160</t>
        </is>
      </c>
      <c r="B26" s="27" t="inlineStr">
        <is>
          <t>Rollladensteuerung komplett (Material+Montage+Programmierung)</t>
        </is>
      </c>
      <c r="C26" s="26" t="inlineStr">
        <is>
          <t>Stk</t>
        </is>
      </c>
      <c r="D26" s="28" t="n"/>
      <c r="E26" s="29" t="n">
        <v>165</v>
      </c>
      <c r="F26" s="29">
        <f>IF(D26="",0,D26*E26)</f>
        <v/>
      </c>
      <c r="G26" s="29">
        <f>F26*0.19</f>
        <v/>
      </c>
      <c r="H26" s="29">
        <f>F26+G26</f>
        <v/>
      </c>
    </row>
    <row r="27">
      <c r="A27" s="26" t="inlineStr">
        <is>
          <t>SH.170</t>
        </is>
      </c>
      <c r="B27" s="27" t="inlineStr">
        <is>
          <t>Sprachsteuerung-Integration (Alexa/Google) komplett</t>
        </is>
      </c>
      <c r="C27" s="26" t="inlineStr">
        <is>
          <t>psch.</t>
        </is>
      </c>
      <c r="D27" s="28" t="n"/>
      <c r="E27" s="29" t="n">
        <v>145</v>
      </c>
      <c r="F27" s="29">
        <f>IF(D27="",0,D27*E27)</f>
        <v/>
      </c>
      <c r="G27" s="29">
        <f>F27*0.19</f>
        <v/>
      </c>
      <c r="H27" s="29">
        <f>F27+G27</f>
        <v/>
      </c>
    </row>
    <row r="28">
      <c r="A28" s="30" t="n"/>
      <c r="B28" s="31" t="inlineStr">
        <is>
          <t>Zwischensumme – Mischpositionen (Material + Arbeit + Geräte komplett)</t>
        </is>
      </c>
      <c r="C28" s="30" t="n"/>
      <c r="D28" s="30" t="n"/>
      <c r="E28" s="30" t="n"/>
      <c r="F28" s="32">
        <f>SUM(F24:F27)</f>
        <v/>
      </c>
      <c r="G28" s="32">
        <f>SUM(G24:G27)</f>
        <v/>
      </c>
      <c r="H28" s="32">
        <f>SUM(H24:H27)</f>
        <v/>
      </c>
    </row>
    <row r="30">
      <c r="A30" s="36" t="n"/>
      <c r="B30" s="37" t="inlineStr">
        <is>
          <t>GESAMTSUMME 5. Smart Home (Allgemein)</t>
        </is>
      </c>
      <c r="C30" s="36" t="n"/>
      <c r="D30" s="36" t="n"/>
      <c r="E30" s="36" t="n"/>
      <c r="F30" s="38">
        <f>F12+F21+F28</f>
        <v/>
      </c>
      <c r="G30" s="38">
        <f>G12+G21+G28</f>
        <v/>
      </c>
      <c r="H30" s="38">
        <f>H12+H21+H28</f>
        <v/>
      </c>
    </row>
  </sheetData>
  <mergeCells count="9">
    <mergeCell ref="A4:H4"/>
    <mergeCell ref="B12:E12"/>
    <mergeCell ref="A2:H2"/>
    <mergeCell ref="B21:E21"/>
    <mergeCell ref="B30:E30"/>
    <mergeCell ref="A14:H14"/>
    <mergeCell ref="A1:H1"/>
    <mergeCell ref="A23:H23"/>
    <mergeCell ref="B28:E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6. KNX-Gebäudesystemtechnik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KX.010</t>
        </is>
      </c>
      <c r="B5" s="27" t="inlineStr">
        <is>
          <t>KNX-Spannungsversorgung 640 mA inkl. Drossel</t>
        </is>
      </c>
      <c r="C5" s="26" t="inlineStr">
        <is>
          <t>Stk</t>
        </is>
      </c>
      <c r="D5" s="28" t="n"/>
      <c r="E5" s="29" t="n">
        <v>145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KX.020</t>
        </is>
      </c>
      <c r="B6" s="27" t="inlineStr">
        <is>
          <t>KNX-Busankoppler (Universal)</t>
        </is>
      </c>
      <c r="C6" s="26" t="inlineStr">
        <is>
          <t>Stk</t>
        </is>
      </c>
      <c r="D6" s="28" t="n"/>
      <c r="E6" s="29" t="n">
        <v>35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KX.030</t>
        </is>
      </c>
      <c r="B7" s="27" t="inlineStr">
        <is>
          <t>KNX-Universal-Binärausgang 8-fach</t>
        </is>
      </c>
      <c r="C7" s="26" t="inlineStr">
        <is>
          <t>Stk</t>
        </is>
      </c>
      <c r="D7" s="28" t="n"/>
      <c r="E7" s="29" t="n">
        <v>185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KX.040</t>
        </is>
      </c>
      <c r="B8" s="27" t="inlineStr">
        <is>
          <t>KNX-Jalousie-/Rollladenaktor 4-fach</t>
        </is>
      </c>
      <c r="C8" s="26" t="inlineStr">
        <is>
          <t>Stk</t>
        </is>
      </c>
      <c r="D8" s="28" t="n"/>
      <c r="E8" s="29" t="n">
        <v>165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KX.050</t>
        </is>
      </c>
      <c r="B9" s="27" t="inlineStr">
        <is>
          <t>KNX-Dimmaktor 4-fach</t>
        </is>
      </c>
      <c r="C9" s="26" t="inlineStr">
        <is>
          <t>Stk</t>
        </is>
      </c>
      <c r="D9" s="28" t="n"/>
      <c r="E9" s="29" t="n">
        <v>195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KX.060</t>
        </is>
      </c>
      <c r="B10" s="27" t="inlineStr">
        <is>
          <t>KNX-Tastsensor 4-fach mit Raumtemperaturregler</t>
        </is>
      </c>
      <c r="C10" s="26" t="inlineStr">
        <is>
          <t>Stk</t>
        </is>
      </c>
      <c r="D10" s="28" t="n"/>
      <c r="E10" s="29" t="n">
        <v>185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KX.070</t>
        </is>
      </c>
      <c r="B11" s="27" t="inlineStr">
        <is>
          <t>KNX-Wetterstation (Wind/Regen/Helligkeit)</t>
        </is>
      </c>
      <c r="C11" s="26" t="inlineStr">
        <is>
          <t>Stk</t>
        </is>
      </c>
      <c r="D11" s="28" t="n"/>
      <c r="E11" s="29" t="n">
        <v>320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26" t="inlineStr">
        <is>
          <t>KX.080</t>
        </is>
      </c>
      <c r="B12" s="27" t="inlineStr">
        <is>
          <t>KNX-IP-Router / Schnittstelle</t>
        </is>
      </c>
      <c r="C12" s="26" t="inlineStr">
        <is>
          <t>Stk</t>
        </is>
      </c>
      <c r="D12" s="28" t="n"/>
      <c r="E12" s="29" t="n">
        <v>245</v>
      </c>
      <c r="F12" s="29">
        <f>IF(D12="",0,D12*E12)</f>
        <v/>
      </c>
      <c r="G12" s="29">
        <f>F12*0.19</f>
        <v/>
      </c>
      <c r="H12" s="29">
        <f>F12+G12</f>
        <v/>
      </c>
    </row>
    <row r="13">
      <c r="A13" s="26" t="inlineStr">
        <is>
          <t>KX.090</t>
        </is>
      </c>
      <c r="B13" s="27" t="inlineStr">
        <is>
          <t>KNX-Busleitung JY(St)Y 2x2x0,8</t>
        </is>
      </c>
      <c r="C13" s="26" t="inlineStr">
        <is>
          <t>m</t>
        </is>
      </c>
      <c r="D13" s="28" t="n"/>
      <c r="E13" s="29" t="n">
        <v>1.6</v>
      </c>
      <c r="F13" s="29">
        <f>IF(D13="",0,D13*E13)</f>
        <v/>
      </c>
      <c r="G13" s="29">
        <f>F13*0.19</f>
        <v/>
      </c>
      <c r="H13" s="29">
        <f>F13+G13</f>
        <v/>
      </c>
    </row>
    <row r="14">
      <c r="A14" s="26" t="inlineStr">
        <is>
          <t>KX.100</t>
        </is>
      </c>
      <c r="B14" s="27" t="inlineStr">
        <is>
          <t>KNX-Visualisierungsserver (z. B. Gira/ABB/Loxone)</t>
        </is>
      </c>
      <c r="C14" s="26" t="inlineStr">
        <is>
          <t>Stk</t>
        </is>
      </c>
      <c r="D14" s="28" t="n"/>
      <c r="E14" s="29" t="n">
        <v>590</v>
      </c>
      <c r="F14" s="29">
        <f>IF(D14="",0,D14*E14)</f>
        <v/>
      </c>
      <c r="G14" s="29">
        <f>F14*0.19</f>
        <v/>
      </c>
      <c r="H14" s="29">
        <f>F14+G14</f>
        <v/>
      </c>
    </row>
    <row r="15">
      <c r="A15" s="30" t="n"/>
      <c r="B15" s="31" t="inlineStr">
        <is>
          <t>Zwischensumme – Material</t>
        </is>
      </c>
      <c r="C15" s="30" t="n"/>
      <c r="D15" s="30" t="n"/>
      <c r="E15" s="30" t="n"/>
      <c r="F15" s="32">
        <f>SUM(F5:F14)</f>
        <v/>
      </c>
      <c r="G15" s="32">
        <f>SUM(G5:G14)</f>
        <v/>
      </c>
      <c r="H15" s="32">
        <f>SUM(H5:H14)</f>
        <v/>
      </c>
    </row>
    <row r="17">
      <c r="A17" s="33" t="inlineStr">
        <is>
          <t>Arbeitsleistung / Lohn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>
      <c r="A18" s="26" t="inlineStr">
        <is>
          <t>KX.110</t>
        </is>
      </c>
      <c r="B18" s="27" t="inlineStr">
        <is>
          <t>Facharbeiterstunde KNX-Installation</t>
        </is>
      </c>
      <c r="C18" s="26" t="inlineStr">
        <is>
          <t>h</t>
        </is>
      </c>
      <c r="D18" s="28" t="n"/>
      <c r="E18" s="29" t="n">
        <v>68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KX.120</t>
        </is>
      </c>
      <c r="B19" s="27" t="inlineStr">
        <is>
          <t>Meisterstunde KNX-Planung / ETS-Programmierung</t>
        </is>
      </c>
      <c r="C19" s="26" t="inlineStr">
        <is>
          <t>h</t>
        </is>
      </c>
      <c r="D19" s="28" t="n"/>
      <c r="E19" s="29" t="n">
        <v>89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KX.130</t>
        </is>
      </c>
      <c r="B20" s="27" t="inlineStr">
        <is>
          <t>KNX-Busleitung verlegen</t>
        </is>
      </c>
      <c r="C20" s="26" t="inlineStr">
        <is>
          <t>m</t>
        </is>
      </c>
      <c r="D20" s="28" t="n"/>
      <c r="E20" s="29" t="n">
        <v>5.5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26" t="inlineStr">
        <is>
          <t>KX.140</t>
        </is>
      </c>
      <c r="B21" s="27" t="inlineStr">
        <is>
          <t>Montage / Anschluss KNX-Gerät (Aktor/Sensor)</t>
        </is>
      </c>
      <c r="C21" s="26" t="inlineStr">
        <is>
          <t>Stk</t>
        </is>
      </c>
      <c r="D21" s="28" t="n"/>
      <c r="E21" s="29" t="n">
        <v>32</v>
      </c>
      <c r="F21" s="29">
        <f>IF(D21="",0,D21*E21)</f>
        <v/>
      </c>
      <c r="G21" s="29">
        <f>F21*0.19</f>
        <v/>
      </c>
      <c r="H21" s="29">
        <f>F21+G21</f>
        <v/>
      </c>
    </row>
    <row r="22">
      <c r="A22" s="26" t="inlineStr">
        <is>
          <t>KX.150</t>
        </is>
      </c>
      <c r="B22" s="27" t="inlineStr">
        <is>
          <t>ETS-Projektierung je Gruppenadresse/Datenpunkt</t>
        </is>
      </c>
      <c r="C22" s="26" t="inlineStr">
        <is>
          <t>Stk</t>
        </is>
      </c>
      <c r="D22" s="28" t="n"/>
      <c r="E22" s="29" t="n">
        <v>12</v>
      </c>
      <c r="F22" s="29">
        <f>IF(D22="",0,D22*E22)</f>
        <v/>
      </c>
      <c r="G22" s="29">
        <f>F22*0.19</f>
        <v/>
      </c>
      <c r="H22" s="29">
        <f>F22+G22</f>
        <v/>
      </c>
    </row>
    <row r="23">
      <c r="A23" s="26" t="inlineStr">
        <is>
          <t>KX.160</t>
        </is>
      </c>
      <c r="B23" s="27" t="inlineStr">
        <is>
          <t>Inbetriebnahme u. Funktionstest Gesamtanlage</t>
        </is>
      </c>
      <c r="C23" s="26" t="inlineStr">
        <is>
          <t>psch.</t>
        </is>
      </c>
      <c r="D23" s="28" t="n"/>
      <c r="E23" s="29" t="n">
        <v>280</v>
      </c>
      <c r="F23" s="29">
        <f>IF(D23="",0,D23*E23)</f>
        <v/>
      </c>
      <c r="G23" s="29">
        <f>F23*0.19</f>
        <v/>
      </c>
      <c r="H23" s="29">
        <f>F23+G23</f>
        <v/>
      </c>
    </row>
    <row r="24">
      <c r="A24" s="26" t="inlineStr">
        <is>
          <t>KX.170</t>
        </is>
      </c>
      <c r="B24" s="27" t="inlineStr">
        <is>
          <t>Einweisung / Schulung Kunde am System</t>
        </is>
      </c>
      <c r="C24" s="26" t="inlineStr">
        <is>
          <t>psch.</t>
        </is>
      </c>
      <c r="D24" s="28" t="n"/>
      <c r="E24" s="29" t="n">
        <v>95</v>
      </c>
      <c r="F24" s="29">
        <f>IF(D24="",0,D24*E24)</f>
        <v/>
      </c>
      <c r="G24" s="29">
        <f>F24*0.19</f>
        <v/>
      </c>
      <c r="H24" s="29">
        <f>F24+G24</f>
        <v/>
      </c>
    </row>
    <row r="25">
      <c r="A25" s="26" t="inlineStr">
        <is>
          <t>KX.180</t>
        </is>
      </c>
      <c r="B25" s="27" t="inlineStr">
        <is>
          <t>Anfahrtspauschale</t>
        </is>
      </c>
      <c r="C25" s="26" t="inlineStr">
        <is>
          <t>psch.</t>
        </is>
      </c>
      <c r="D25" s="28" t="n"/>
      <c r="E25" s="29" t="n">
        <v>39</v>
      </c>
      <c r="F25" s="29">
        <f>IF(D25="",0,D25*E25)</f>
        <v/>
      </c>
      <c r="G25" s="29">
        <f>F25*0.19</f>
        <v/>
      </c>
      <c r="H25" s="29">
        <f>F25+G25</f>
        <v/>
      </c>
    </row>
    <row r="26">
      <c r="A26" s="30" t="n"/>
      <c r="B26" s="31" t="inlineStr">
        <is>
          <t>Zwischensumme – Arbeitsleistung / Lohn</t>
        </is>
      </c>
      <c r="C26" s="30" t="n"/>
      <c r="D26" s="30" t="n"/>
      <c r="E26" s="30" t="n"/>
      <c r="F26" s="32">
        <f>SUM(F18:F25)</f>
        <v/>
      </c>
      <c r="G26" s="32">
        <f>SUM(G18:G25)</f>
        <v/>
      </c>
      <c r="H26" s="32">
        <f>SUM(H18:H25)</f>
        <v/>
      </c>
    </row>
    <row r="28">
      <c r="A28" s="35" t="inlineStr">
        <is>
          <t>Mischpositionen (Material + Arbeit + Geräte komplett)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>
      <c r="A29" s="26" t="inlineStr">
        <is>
          <t>KX.190</t>
        </is>
      </c>
      <c r="B29" s="27" t="inlineStr">
        <is>
          <t>KNX-Raumcontroller komplett (Taster + Aktor + Programmierung je Raum)</t>
        </is>
      </c>
      <c r="C29" s="26" t="inlineStr">
        <is>
          <t>Stk</t>
        </is>
      </c>
      <c r="D29" s="28" t="n"/>
      <c r="E29" s="29" t="n">
        <v>420</v>
      </c>
      <c r="F29" s="29">
        <f>IF(D29="",0,D29*E29)</f>
        <v/>
      </c>
      <c r="G29" s="29">
        <f>F29*0.19</f>
        <v/>
      </c>
      <c r="H29" s="29">
        <f>F29+G29</f>
        <v/>
      </c>
    </row>
    <row r="30">
      <c r="A30" s="26" t="inlineStr">
        <is>
          <t>KX.200</t>
        </is>
      </c>
      <c r="B30" s="27" t="inlineStr">
        <is>
          <t>KNX-Jalousiesteuerung komplett je Fenster</t>
        </is>
      </c>
      <c r="C30" s="26" t="inlineStr">
        <is>
          <t>Stk</t>
        </is>
      </c>
      <c r="D30" s="28" t="n"/>
      <c r="E30" s="29" t="n">
        <v>185</v>
      </c>
      <c r="F30" s="29">
        <f>IF(D30="",0,D30*E30)</f>
        <v/>
      </c>
      <c r="G30" s="29">
        <f>F30*0.19</f>
        <v/>
      </c>
      <c r="H30" s="29">
        <f>F30+G30</f>
        <v/>
      </c>
    </row>
    <row r="31">
      <c r="A31" s="26" t="inlineStr">
        <is>
          <t>KX.210</t>
        </is>
      </c>
      <c r="B31" s="27" t="inlineStr">
        <is>
          <t>KNX-Grundausstattung Einfamilienhaus (bis 8 Räume) komplett</t>
        </is>
      </c>
      <c r="C31" s="26" t="inlineStr">
        <is>
          <t>psch.</t>
        </is>
      </c>
      <c r="D31" s="28" t="n"/>
      <c r="E31" s="29" t="n">
        <v>6900</v>
      </c>
      <c r="F31" s="29">
        <f>IF(D31="",0,D31*E31)</f>
        <v/>
      </c>
      <c r="G31" s="29">
        <f>F31*0.19</f>
        <v/>
      </c>
      <c r="H31" s="29">
        <f>F31+G31</f>
        <v/>
      </c>
    </row>
    <row r="32">
      <c r="A32" s="26" t="inlineStr">
        <is>
          <t>KX.220</t>
        </is>
      </c>
      <c r="B32" s="27" t="inlineStr">
        <is>
          <t>KNX-Visualisierung Komplettpaket (Server + Einrichtung + Einweisung)</t>
        </is>
      </c>
      <c r="C32" s="26" t="inlineStr">
        <is>
          <t>psch.</t>
        </is>
      </c>
      <c r="D32" s="28" t="n"/>
      <c r="E32" s="29" t="n">
        <v>1290</v>
      </c>
      <c r="F32" s="29">
        <f>IF(D32="",0,D32*E32)</f>
        <v/>
      </c>
      <c r="G32" s="29">
        <f>F32*0.19</f>
        <v/>
      </c>
      <c r="H32" s="29">
        <f>F32+G32</f>
        <v/>
      </c>
    </row>
    <row r="33">
      <c r="A33" s="30" t="n"/>
      <c r="B33" s="31" t="inlineStr">
        <is>
          <t>Zwischensumme – Mischpositionen (Material + Arbeit + Geräte komplett)</t>
        </is>
      </c>
      <c r="C33" s="30" t="n"/>
      <c r="D33" s="30" t="n"/>
      <c r="E33" s="30" t="n"/>
      <c r="F33" s="32">
        <f>SUM(F29:F32)</f>
        <v/>
      </c>
      <c r="G33" s="32">
        <f>SUM(G29:G32)</f>
        <v/>
      </c>
      <c r="H33" s="32">
        <f>SUM(H29:H32)</f>
        <v/>
      </c>
    </row>
    <row r="35">
      <c r="A35" s="36" t="n"/>
      <c r="B35" s="37" t="inlineStr">
        <is>
          <t>GESAMTSUMME 6. KNX-Gebäudesystemtechnik</t>
        </is>
      </c>
      <c r="C35" s="36" t="n"/>
      <c r="D35" s="36" t="n"/>
      <c r="E35" s="36" t="n"/>
      <c r="F35" s="38">
        <f>F15+F26+F33</f>
        <v/>
      </c>
      <c r="G35" s="38">
        <f>G15+G26+G33</f>
        <v/>
      </c>
      <c r="H35" s="38">
        <f>H15+H26+H33</f>
        <v/>
      </c>
    </row>
  </sheetData>
  <mergeCells count="9">
    <mergeCell ref="A4:H4"/>
    <mergeCell ref="B26:E26"/>
    <mergeCell ref="B35:E35"/>
    <mergeCell ref="A2:H2"/>
    <mergeCell ref="A28:H28"/>
    <mergeCell ref="B15:E15"/>
    <mergeCell ref="B33:E33"/>
    <mergeCell ref="A1:H1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7. Mess- und Regeltechnik (MSR)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MR.010</t>
        </is>
      </c>
      <c r="B5" s="27" t="inlineStr">
        <is>
          <t>Temperaturfühler (PT100 / PT1000)</t>
        </is>
      </c>
      <c r="C5" s="26" t="inlineStr">
        <is>
          <t>Stk</t>
        </is>
      </c>
      <c r="D5" s="28" t="n"/>
      <c r="E5" s="29" t="n">
        <v>28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MR.020</t>
        </is>
      </c>
      <c r="B6" s="27" t="inlineStr">
        <is>
          <t>Feuchtefühler / Hygrostat</t>
        </is>
      </c>
      <c r="C6" s="26" t="inlineStr">
        <is>
          <t>Stk</t>
        </is>
      </c>
      <c r="D6" s="28" t="n"/>
      <c r="E6" s="29" t="n">
        <v>45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MR.030</t>
        </is>
      </c>
      <c r="B7" s="27" t="inlineStr">
        <is>
          <t>Drucktransmitter</t>
        </is>
      </c>
      <c r="C7" s="26" t="inlineStr">
        <is>
          <t>Stk</t>
        </is>
      </c>
      <c r="D7" s="28" t="n"/>
      <c r="E7" s="29" t="n">
        <v>85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MR.040</t>
        </is>
      </c>
      <c r="B8" s="27" t="inlineStr">
        <is>
          <t>Stromwandler für Energiemonitoring</t>
        </is>
      </c>
      <c r="C8" s="26" t="inlineStr">
        <is>
          <t>Stk</t>
        </is>
      </c>
      <c r="D8" s="28" t="n"/>
      <c r="E8" s="29" t="n">
        <v>38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MR.050</t>
        </is>
      </c>
      <c r="B9" s="27" t="inlineStr">
        <is>
          <t>Zeit-/Wochenschaltuhr digital</t>
        </is>
      </c>
      <c r="C9" s="26" t="inlineStr">
        <is>
          <t>Stk</t>
        </is>
      </c>
      <c r="D9" s="28" t="n"/>
      <c r="E9" s="29" t="n">
        <v>42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MR.060</t>
        </is>
      </c>
      <c r="B10" s="27" t="inlineStr">
        <is>
          <t>Raumtemperaturregler digital</t>
        </is>
      </c>
      <c r="C10" s="26" t="inlineStr">
        <is>
          <t>Stk</t>
        </is>
      </c>
      <c r="D10" s="28" t="n"/>
      <c r="E10" s="29" t="n">
        <v>65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MR.070</t>
        </is>
      </c>
      <c r="B11" s="27" t="inlineStr">
        <is>
          <t>SPS-Kleinsteuerung / Logikmodul</t>
        </is>
      </c>
      <c r="C11" s="26" t="inlineStr">
        <is>
          <t>Stk</t>
        </is>
      </c>
      <c r="D11" s="28" t="n"/>
      <c r="E11" s="29" t="n">
        <v>185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26" t="inlineStr">
        <is>
          <t>MR.080</t>
        </is>
      </c>
      <c r="B12" s="27" t="inlineStr">
        <is>
          <t>Datenlogger / Energiemonitoring-Gateway</t>
        </is>
      </c>
      <c r="C12" s="26" t="inlineStr">
        <is>
          <t>Stk</t>
        </is>
      </c>
      <c r="D12" s="28" t="n"/>
      <c r="E12" s="29" t="n">
        <v>145</v>
      </c>
      <c r="F12" s="29">
        <f>IF(D12="",0,D12*E12)</f>
        <v/>
      </c>
      <c r="G12" s="29">
        <f>F12*0.19</f>
        <v/>
      </c>
      <c r="H12" s="29">
        <f>F12+G12</f>
        <v/>
      </c>
    </row>
    <row r="13">
      <c r="A13" s="26" t="inlineStr">
        <is>
          <t>MR.090</t>
        </is>
      </c>
      <c r="B13" s="27" t="inlineStr">
        <is>
          <t>Signalkabel (LiYCY, geschirmt)</t>
        </is>
      </c>
      <c r="C13" s="26" t="inlineStr">
        <is>
          <t>m</t>
        </is>
      </c>
      <c r="D13" s="28" t="n"/>
      <c r="E13" s="29" t="n">
        <v>2.4</v>
      </c>
      <c r="F13" s="29">
        <f>IF(D13="",0,D13*E13)</f>
        <v/>
      </c>
      <c r="G13" s="29">
        <f>F13*0.19</f>
        <v/>
      </c>
      <c r="H13" s="29">
        <f>F13+G13</f>
        <v/>
      </c>
    </row>
    <row r="14">
      <c r="A14" s="30" t="n"/>
      <c r="B14" s="31" t="inlineStr">
        <is>
          <t>Zwischensumme – Material</t>
        </is>
      </c>
      <c r="C14" s="30" t="n"/>
      <c r="D14" s="30" t="n"/>
      <c r="E14" s="30" t="n"/>
      <c r="F14" s="32">
        <f>SUM(F5:F13)</f>
        <v/>
      </c>
      <c r="G14" s="32">
        <f>SUM(G5:G13)</f>
        <v/>
      </c>
      <c r="H14" s="32">
        <f>SUM(H5:H13)</f>
        <v/>
      </c>
    </row>
    <row r="16">
      <c r="A16" s="33" t="inlineStr">
        <is>
          <t>Arbeitsleistung / Lohn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>
      <c r="A17" s="26" t="inlineStr">
        <is>
          <t>MR.100</t>
        </is>
      </c>
      <c r="B17" s="27" t="inlineStr">
        <is>
          <t>Facharbeiterstunde Mess- und Regeltechnik</t>
        </is>
      </c>
      <c r="C17" s="26" t="inlineStr">
        <is>
          <t>h</t>
        </is>
      </c>
      <c r="D17" s="28" t="n"/>
      <c r="E17" s="29" t="n">
        <v>68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26" t="inlineStr">
        <is>
          <t>MR.110</t>
        </is>
      </c>
      <c r="B18" s="27" t="inlineStr">
        <is>
          <t>Meisterstunde MSR-Planung / Inbetriebnahme</t>
        </is>
      </c>
      <c r="C18" s="26" t="inlineStr">
        <is>
          <t>h</t>
        </is>
      </c>
      <c r="D18" s="28" t="n"/>
      <c r="E18" s="29" t="n">
        <v>89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MR.120</t>
        </is>
      </c>
      <c r="B19" s="27" t="inlineStr">
        <is>
          <t>Montage / Anschluss Fühler oder Sensor</t>
        </is>
      </c>
      <c r="C19" s="26" t="inlineStr">
        <is>
          <t>Stk</t>
        </is>
      </c>
      <c r="D19" s="28" t="n"/>
      <c r="E19" s="29" t="n">
        <v>28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MR.130</t>
        </is>
      </c>
      <c r="B20" s="27" t="inlineStr">
        <is>
          <t>Verkabelung Signal-/Bussystem</t>
        </is>
      </c>
      <c r="C20" s="26" t="inlineStr">
        <is>
          <t>m</t>
        </is>
      </c>
      <c r="D20" s="28" t="n"/>
      <c r="E20" s="29" t="n">
        <v>6.5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26" t="inlineStr">
        <is>
          <t>MR.140</t>
        </is>
      </c>
      <c r="B21" s="27" t="inlineStr">
        <is>
          <t>Programmierung Regler / SPS</t>
        </is>
      </c>
      <c r="C21" s="26" t="inlineStr">
        <is>
          <t>psch.</t>
        </is>
      </c>
      <c r="D21" s="28" t="n"/>
      <c r="E21" s="29" t="n">
        <v>165</v>
      </c>
      <c r="F21" s="29">
        <f>IF(D21="",0,D21*E21)</f>
        <v/>
      </c>
      <c r="G21" s="29">
        <f>F21*0.19</f>
        <v/>
      </c>
      <c r="H21" s="29">
        <f>F21+G21</f>
        <v/>
      </c>
    </row>
    <row r="22">
      <c r="A22" s="26" t="inlineStr">
        <is>
          <t>MR.150</t>
        </is>
      </c>
      <c r="B22" s="27" t="inlineStr">
        <is>
          <t>Kalibrierung / Abgleich Messkette</t>
        </is>
      </c>
      <c r="C22" s="26" t="inlineStr">
        <is>
          <t>psch.</t>
        </is>
      </c>
      <c r="D22" s="28" t="n"/>
      <c r="E22" s="29" t="n">
        <v>95</v>
      </c>
      <c r="F22" s="29">
        <f>IF(D22="",0,D22*E22)</f>
        <v/>
      </c>
      <c r="G22" s="29">
        <f>F22*0.19</f>
        <v/>
      </c>
      <c r="H22" s="29">
        <f>F22+G22</f>
        <v/>
      </c>
    </row>
    <row r="23">
      <c r="A23" s="26" t="inlineStr">
        <is>
          <t>MR.160</t>
        </is>
      </c>
      <c r="B23" s="27" t="inlineStr">
        <is>
          <t>Inbetriebnahme u. Funktionsprüfung</t>
        </is>
      </c>
      <c r="C23" s="26" t="inlineStr">
        <is>
          <t>psch.</t>
        </is>
      </c>
      <c r="D23" s="28" t="n"/>
      <c r="E23" s="29" t="n">
        <v>120</v>
      </c>
      <c r="F23" s="29">
        <f>IF(D23="",0,D23*E23)</f>
        <v/>
      </c>
      <c r="G23" s="29">
        <f>F23*0.19</f>
        <v/>
      </c>
      <c r="H23" s="29">
        <f>F23+G23</f>
        <v/>
      </c>
    </row>
    <row r="24">
      <c r="A24" s="26" t="inlineStr">
        <is>
          <t>MR.170</t>
        </is>
      </c>
      <c r="B24" s="27" t="inlineStr">
        <is>
          <t>Anfahrtspauschale</t>
        </is>
      </c>
      <c r="C24" s="26" t="inlineStr">
        <is>
          <t>psch.</t>
        </is>
      </c>
      <c r="D24" s="28" t="n"/>
      <c r="E24" s="29" t="n">
        <v>39</v>
      </c>
      <c r="F24" s="29">
        <f>IF(D24="",0,D24*E24)</f>
        <v/>
      </c>
      <c r="G24" s="29">
        <f>F24*0.19</f>
        <v/>
      </c>
      <c r="H24" s="29">
        <f>F24+G24</f>
        <v/>
      </c>
    </row>
    <row r="25">
      <c r="A25" s="30" t="n"/>
      <c r="B25" s="31" t="inlineStr">
        <is>
          <t>Zwischensumme – Arbeitsleistung / Lohn</t>
        </is>
      </c>
      <c r="C25" s="30" t="n"/>
      <c r="D25" s="30" t="n"/>
      <c r="E25" s="30" t="n"/>
      <c r="F25" s="32">
        <f>SUM(F17:F24)</f>
        <v/>
      </c>
      <c r="G25" s="32">
        <f>SUM(G17:G24)</f>
        <v/>
      </c>
      <c r="H25" s="32">
        <f>SUM(H17:H24)</f>
        <v/>
      </c>
    </row>
    <row r="27">
      <c r="A27" s="35" t="inlineStr">
        <is>
          <t>Mischpositionen (Material + Arbeit + Geräte komplett)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>
      <c r="A28" s="26" t="inlineStr">
        <is>
          <t>MR.180</t>
        </is>
      </c>
      <c r="B28" s="27" t="inlineStr">
        <is>
          <t>Energiemonitoring-Paket komplett (Zähler + Sensorik + Auswertung)</t>
        </is>
      </c>
      <c r="C28" s="26" t="inlineStr">
        <is>
          <t>psch.</t>
        </is>
      </c>
      <c r="D28" s="28" t="n"/>
      <c r="E28" s="29" t="n">
        <v>890</v>
      </c>
      <c r="F28" s="29">
        <f>IF(D28="",0,D28*E28)</f>
        <v/>
      </c>
      <c r="G28" s="29">
        <f>F28*0.19</f>
        <v/>
      </c>
      <c r="H28" s="29">
        <f>F28+G28</f>
        <v/>
      </c>
    </row>
    <row r="29">
      <c r="A29" s="26" t="inlineStr">
        <is>
          <t>MR.190</t>
        </is>
      </c>
      <c r="B29" s="27" t="inlineStr">
        <is>
          <t>Raumtemperatur-Regelung komplett (Fühler + Regler + Programmierung)</t>
        </is>
      </c>
      <c r="C29" s="26" t="inlineStr">
        <is>
          <t>Stk</t>
        </is>
      </c>
      <c r="D29" s="28" t="n"/>
      <c r="E29" s="29" t="n">
        <v>245</v>
      </c>
      <c r="F29" s="29">
        <f>IF(D29="",0,D29*E29)</f>
        <v/>
      </c>
      <c r="G29" s="29">
        <f>F29*0.19</f>
        <v/>
      </c>
      <c r="H29" s="29">
        <f>F29+G29</f>
        <v/>
      </c>
    </row>
    <row r="30">
      <c r="A30" s="26" t="inlineStr">
        <is>
          <t>MR.200</t>
        </is>
      </c>
      <c r="B30" s="27" t="inlineStr">
        <is>
          <t>SPS-Kleinsteuerung Komplettpaket (Material + Programmierung + Inbetriebnahme)</t>
        </is>
      </c>
      <c r="C30" s="26" t="inlineStr">
        <is>
          <t>psch.</t>
        </is>
      </c>
      <c r="D30" s="28" t="n"/>
      <c r="E30" s="29" t="n">
        <v>1290</v>
      </c>
      <c r="F30" s="29">
        <f>IF(D30="",0,D30*E30)</f>
        <v/>
      </c>
      <c r="G30" s="29">
        <f>F30*0.19</f>
        <v/>
      </c>
      <c r="H30" s="29">
        <f>F30+G30</f>
        <v/>
      </c>
    </row>
    <row r="31">
      <c r="A31" s="30" t="n"/>
      <c r="B31" s="31" t="inlineStr">
        <is>
          <t>Zwischensumme – Mischpositionen (Material + Arbeit + Geräte komplett)</t>
        </is>
      </c>
      <c r="C31" s="30" t="n"/>
      <c r="D31" s="30" t="n"/>
      <c r="E31" s="30" t="n"/>
      <c r="F31" s="32">
        <f>SUM(F28:F30)</f>
        <v/>
      </c>
      <c r="G31" s="32">
        <f>SUM(G28:G30)</f>
        <v/>
      </c>
      <c r="H31" s="32">
        <f>SUM(H28:H30)</f>
        <v/>
      </c>
    </row>
    <row r="33">
      <c r="A33" s="36" t="n"/>
      <c r="B33" s="37" t="inlineStr">
        <is>
          <t>GESAMTSUMME 7. Mess- und Regeltechnik (MSR)</t>
        </is>
      </c>
      <c r="C33" s="36" t="n"/>
      <c r="D33" s="36" t="n"/>
      <c r="E33" s="36" t="n"/>
      <c r="F33" s="38">
        <f>F14+F25+F31</f>
        <v/>
      </c>
      <c r="G33" s="38">
        <f>G14+G25+G31</f>
        <v/>
      </c>
      <c r="H33" s="38">
        <f>H14+H25+H31</f>
        <v/>
      </c>
    </row>
  </sheetData>
  <mergeCells count="9">
    <mergeCell ref="A4:H4"/>
    <mergeCell ref="B31:E31"/>
    <mergeCell ref="A16:H16"/>
    <mergeCell ref="A2:H2"/>
    <mergeCell ref="B33:E33"/>
    <mergeCell ref="B25:E25"/>
    <mergeCell ref="A1:H1"/>
    <mergeCell ref="A27:H27"/>
    <mergeCell ref="B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8. Wärmepumpe (Elektroanschluss)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WP.010</t>
        </is>
      </c>
      <c r="B5" s="27" t="inlineStr">
        <is>
          <t>Zählerschrank-Erweiterung für Wärmepumpe</t>
        </is>
      </c>
      <c r="C5" s="26" t="inlineStr">
        <is>
          <t>Stk</t>
        </is>
      </c>
      <c r="D5" s="28" t="n"/>
      <c r="E5" s="29" t="n">
        <v>220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WP.020</t>
        </is>
      </c>
      <c r="B6" s="27" t="inlineStr">
        <is>
          <t>Rundsteuerempfänger-Vorbereitung / Klemmen</t>
        </is>
      </c>
      <c r="C6" s="26" t="inlineStr">
        <is>
          <t>Stk</t>
        </is>
      </c>
      <c r="D6" s="28" t="n"/>
      <c r="E6" s="29" t="n">
        <v>45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WP.030</t>
        </is>
      </c>
      <c r="B7" s="27" t="inlineStr">
        <is>
          <t>Lastabwurfrelais (§14a EnWG)</t>
        </is>
      </c>
      <c r="C7" s="26" t="inlineStr">
        <is>
          <t>Stk</t>
        </is>
      </c>
      <c r="D7" s="28" t="n"/>
      <c r="E7" s="29" t="n">
        <v>165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WP.040</t>
        </is>
      </c>
      <c r="B8" s="27" t="inlineStr">
        <is>
          <t>NYY-J 5x6 mm² Zuleitung Außeneinheit</t>
        </is>
      </c>
      <c r="C8" s="26" t="inlineStr">
        <is>
          <t>m</t>
        </is>
      </c>
      <c r="D8" s="28" t="n"/>
      <c r="E8" s="29" t="n">
        <v>6.8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WP.050</t>
        </is>
      </c>
      <c r="B9" s="27" t="inlineStr">
        <is>
          <t>Steuerleitung (LiYCY) Innen-/Außeneinheit</t>
        </is>
      </c>
      <c r="C9" s="26" t="inlineStr">
        <is>
          <t>m</t>
        </is>
      </c>
      <c r="D9" s="28" t="n"/>
      <c r="E9" s="29" t="n">
        <v>3.2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WP.060</t>
        </is>
      </c>
      <c r="B10" s="27" t="inlineStr">
        <is>
          <t>LS-Schalter / FI für WP-Stromkreis</t>
        </is>
      </c>
      <c r="C10" s="26" t="inlineStr">
        <is>
          <t>Stk</t>
        </is>
      </c>
      <c r="D10" s="28" t="n"/>
      <c r="E10" s="29" t="n">
        <v>85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WP.070</t>
        </is>
      </c>
      <c r="B11" s="27" t="inlineStr">
        <is>
          <t>Potentialausgleich-Zubehör Außeneinheit</t>
        </is>
      </c>
      <c r="C11" s="26" t="inlineStr">
        <is>
          <t>Stk</t>
        </is>
      </c>
      <c r="D11" s="28" t="n"/>
      <c r="E11" s="29" t="n">
        <v>28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30" t="n"/>
      <c r="B12" s="31" t="inlineStr">
        <is>
          <t>Zwischensumme – Material</t>
        </is>
      </c>
      <c r="C12" s="30" t="n"/>
      <c r="D12" s="30" t="n"/>
      <c r="E12" s="30" t="n"/>
      <c r="F12" s="32">
        <f>SUM(F5:F11)</f>
        <v/>
      </c>
      <c r="G12" s="32">
        <f>SUM(G5:G11)</f>
        <v/>
      </c>
      <c r="H12" s="32">
        <f>SUM(H5:H11)</f>
        <v/>
      </c>
    </row>
    <row r="14">
      <c r="A14" s="33" t="inlineStr">
        <is>
          <t>Arbeitsleistung / Lohn</t>
        </is>
      </c>
      <c r="B14" s="25" t="n"/>
      <c r="C14" s="25" t="n"/>
      <c r="D14" s="25" t="n"/>
      <c r="E14" s="25" t="n"/>
      <c r="F14" s="25" t="n"/>
      <c r="G14" s="25" t="n"/>
      <c r="H14" s="25" t="n"/>
    </row>
    <row r="15">
      <c r="A15" s="26" t="inlineStr">
        <is>
          <t>WP.080</t>
        </is>
      </c>
      <c r="B15" s="27" t="inlineStr">
        <is>
          <t>Facharbeiterstunde Wärmepumpen-Elektroanschluss</t>
        </is>
      </c>
      <c r="C15" s="26" t="inlineStr">
        <is>
          <t>h</t>
        </is>
      </c>
      <c r="D15" s="28" t="n"/>
      <c r="E15" s="29" t="n">
        <v>68</v>
      </c>
      <c r="F15" s="29">
        <f>IF(D15="",0,D15*E15)</f>
        <v/>
      </c>
      <c r="G15" s="29">
        <f>F15*0.19</f>
        <v/>
      </c>
      <c r="H15" s="29">
        <f>F15+G15</f>
        <v/>
      </c>
    </row>
    <row r="16">
      <c r="A16" s="26" t="inlineStr">
        <is>
          <t>WP.090</t>
        </is>
      </c>
      <c r="B16" s="27" t="inlineStr">
        <is>
          <t>Elektroanschluss Außeneinheit herstellen</t>
        </is>
      </c>
      <c r="C16" s="26" t="inlineStr">
        <is>
          <t>psch.</t>
        </is>
      </c>
      <c r="D16" s="28" t="n"/>
      <c r="E16" s="29" t="n">
        <v>220</v>
      </c>
      <c r="F16" s="29">
        <f>IF(D16="",0,D16*E16)</f>
        <v/>
      </c>
      <c r="G16" s="29">
        <f>F16*0.19</f>
        <v/>
      </c>
      <c r="H16" s="29">
        <f>F16+G16</f>
        <v/>
      </c>
    </row>
    <row r="17">
      <c r="A17" s="26" t="inlineStr">
        <is>
          <t>WP.100</t>
        </is>
      </c>
      <c r="B17" s="27" t="inlineStr">
        <is>
          <t>Elektroanschluss Innen-/Speichereinheit</t>
        </is>
      </c>
      <c r="C17" s="26" t="inlineStr">
        <is>
          <t>psch.</t>
        </is>
      </c>
      <c r="D17" s="28" t="n"/>
      <c r="E17" s="29" t="n">
        <v>165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26" t="inlineStr">
        <is>
          <t>WP.110</t>
        </is>
      </c>
      <c r="B18" s="27" t="inlineStr">
        <is>
          <t>Kabelverlegung Innen / Außen</t>
        </is>
      </c>
      <c r="C18" s="26" t="inlineStr">
        <is>
          <t>m</t>
        </is>
      </c>
      <c r="D18" s="28" t="n"/>
      <c r="E18" s="29" t="n">
        <v>12.5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WP.120</t>
        </is>
      </c>
      <c r="B19" s="27" t="inlineStr">
        <is>
          <t>Anmeldung Netzbetreiber (§14a steuerbare Verbrauchseinrichtung)</t>
        </is>
      </c>
      <c r="C19" s="26" t="inlineStr">
        <is>
          <t>psch.</t>
        </is>
      </c>
      <c r="D19" s="28" t="n"/>
      <c r="E19" s="29" t="n">
        <v>95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WP.130</t>
        </is>
      </c>
      <c r="B20" s="27" t="inlineStr">
        <is>
          <t>Inbetriebnahme u. Funktionsprüfung</t>
        </is>
      </c>
      <c r="C20" s="26" t="inlineStr">
        <is>
          <t>psch.</t>
        </is>
      </c>
      <c r="D20" s="28" t="n"/>
      <c r="E20" s="29" t="n">
        <v>120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26" t="inlineStr">
        <is>
          <t>WP.140</t>
        </is>
      </c>
      <c r="B21" s="27" t="inlineStr">
        <is>
          <t>Anfahrtspauschale</t>
        </is>
      </c>
      <c r="C21" s="26" t="inlineStr">
        <is>
          <t>psch.</t>
        </is>
      </c>
      <c r="D21" s="28" t="n"/>
      <c r="E21" s="29" t="n">
        <v>39</v>
      </c>
      <c r="F21" s="29">
        <f>IF(D21="",0,D21*E21)</f>
        <v/>
      </c>
      <c r="G21" s="29">
        <f>F21*0.19</f>
        <v/>
      </c>
      <c r="H21" s="29">
        <f>F21+G21</f>
        <v/>
      </c>
    </row>
    <row r="22">
      <c r="A22" s="30" t="n"/>
      <c r="B22" s="31" t="inlineStr">
        <is>
          <t>Zwischensumme – Arbeitsleistung / Lohn</t>
        </is>
      </c>
      <c r="C22" s="30" t="n"/>
      <c r="D22" s="30" t="n"/>
      <c r="E22" s="30" t="n"/>
      <c r="F22" s="32">
        <f>SUM(F15:F21)</f>
        <v/>
      </c>
      <c r="G22" s="32">
        <f>SUM(G15:G21)</f>
        <v/>
      </c>
      <c r="H22" s="32">
        <f>SUM(H15:H21)</f>
        <v/>
      </c>
    </row>
    <row r="24">
      <c r="A24" s="35" t="inlineStr">
        <is>
          <t>Mischpositionen (Material + Arbeit + Geräte komplett)</t>
        </is>
      </c>
      <c r="B24" s="25" t="n"/>
      <c r="C24" s="25" t="n"/>
      <c r="D24" s="25" t="n"/>
      <c r="E24" s="25" t="n"/>
      <c r="F24" s="25" t="n"/>
      <c r="G24" s="25" t="n"/>
      <c r="H24" s="25" t="n"/>
    </row>
    <row r="25">
      <c r="A25" s="26" t="inlineStr">
        <is>
          <t>WP.150</t>
        </is>
      </c>
      <c r="B25" s="27" t="inlineStr">
        <is>
          <t>Wärmepumpen-Elektroanschluss Komplettpaket</t>
        </is>
      </c>
      <c r="C25" s="26" t="inlineStr">
        <is>
          <t>psch.</t>
        </is>
      </c>
      <c r="D25" s="28" t="n"/>
      <c r="E25" s="29" t="n">
        <v>1290</v>
      </c>
      <c r="F25" s="29">
        <f>IF(D25="",0,D25*E25)</f>
        <v/>
      </c>
      <c r="G25" s="29">
        <f>F25*0.19</f>
        <v/>
      </c>
      <c r="H25" s="29">
        <f>F25+G25</f>
        <v/>
      </c>
    </row>
    <row r="26">
      <c r="A26" s="26" t="inlineStr">
        <is>
          <t>WP.160</t>
        </is>
      </c>
      <c r="B26" s="27" t="inlineStr">
        <is>
          <t>Zählerschrank-Erweiterung komplett für WP + PV kombiniert</t>
        </is>
      </c>
      <c r="C26" s="26" t="inlineStr">
        <is>
          <t>psch.</t>
        </is>
      </c>
      <c r="D26" s="28" t="n"/>
      <c r="E26" s="29" t="n">
        <v>590</v>
      </c>
      <c r="F26" s="29">
        <f>IF(D26="",0,D26*E26)</f>
        <v/>
      </c>
      <c r="G26" s="29">
        <f>F26*0.19</f>
        <v/>
      </c>
      <c r="H26" s="29">
        <f>F26+G26</f>
        <v/>
      </c>
    </row>
    <row r="27">
      <c r="A27" s="30" t="n"/>
      <c r="B27" s="31" t="inlineStr">
        <is>
          <t>Zwischensumme – Mischpositionen (Material + Arbeit + Geräte komplett)</t>
        </is>
      </c>
      <c r="C27" s="30" t="n"/>
      <c r="D27" s="30" t="n"/>
      <c r="E27" s="30" t="n"/>
      <c r="F27" s="32">
        <f>SUM(F25:F26)</f>
        <v/>
      </c>
      <c r="G27" s="32">
        <f>SUM(G25:G26)</f>
        <v/>
      </c>
      <c r="H27" s="32">
        <f>SUM(H25:H26)</f>
        <v/>
      </c>
    </row>
    <row r="29">
      <c r="A29" s="36" t="n"/>
      <c r="B29" s="37" t="inlineStr">
        <is>
          <t>GESAMTSUMME 8. Wärmepumpe (Elektroanschluss)</t>
        </is>
      </c>
      <c r="C29" s="36" t="n"/>
      <c r="D29" s="36" t="n"/>
      <c r="E29" s="36" t="n"/>
      <c r="F29" s="38">
        <f>F12+F22+F27</f>
        <v/>
      </c>
      <c r="G29" s="38">
        <f>G12+G22+G27</f>
        <v/>
      </c>
      <c r="H29" s="38">
        <f>H12+H22+H27</f>
        <v/>
      </c>
    </row>
  </sheetData>
  <mergeCells count="9">
    <mergeCell ref="A4:H4"/>
    <mergeCell ref="B27:E27"/>
    <mergeCell ref="B12:E12"/>
    <mergeCell ref="A24:H24"/>
    <mergeCell ref="A2:H2"/>
    <mergeCell ref="B29:E29"/>
    <mergeCell ref="A14:H14"/>
    <mergeCell ref="A1:H1"/>
    <mergeCell ref="B22:E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9. DGUV-Prüfung (DGUV Vorschrift 3)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DG.010</t>
        </is>
      </c>
      <c r="B5" s="27" t="inlineStr">
        <is>
          <t>Prüfplakette (Anlage / Betriebsmittel)</t>
        </is>
      </c>
      <c r="C5" s="26" t="inlineStr">
        <is>
          <t>Stk</t>
        </is>
      </c>
      <c r="D5" s="28" t="n"/>
      <c r="E5" s="29" t="n">
        <v>1.2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DG.020</t>
        </is>
      </c>
      <c r="B6" s="27" t="inlineStr">
        <is>
          <t>Prüfetikett mit Barcode / QR</t>
        </is>
      </c>
      <c r="C6" s="26" t="inlineStr">
        <is>
          <t>Stk</t>
        </is>
      </c>
      <c r="D6" s="28" t="n"/>
      <c r="E6" s="29" t="n">
        <v>1.8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30" t="n"/>
      <c r="B7" s="31" t="inlineStr">
        <is>
          <t>Zwischensumme – Material</t>
        </is>
      </c>
      <c r="C7" s="30" t="n"/>
      <c r="D7" s="30" t="n"/>
      <c r="E7" s="30" t="n"/>
      <c r="F7" s="32">
        <f>SUM(F5:F6)</f>
        <v/>
      </c>
      <c r="G7" s="32">
        <f>SUM(G5:G6)</f>
        <v/>
      </c>
      <c r="H7" s="32">
        <f>SUM(H5:H6)</f>
        <v/>
      </c>
    </row>
    <row r="9">
      <c r="A9" s="33" t="inlineStr">
        <is>
          <t>Arbeitsleistung / Lohn</t>
        </is>
      </c>
      <c r="B9" s="25" t="n"/>
      <c r="C9" s="25" t="n"/>
      <c r="D9" s="25" t="n"/>
      <c r="E9" s="25" t="n"/>
      <c r="F9" s="25" t="n"/>
      <c r="G9" s="25" t="n"/>
      <c r="H9" s="25" t="n"/>
    </row>
    <row r="10">
      <c r="A10" s="26" t="inlineStr">
        <is>
          <t>DG.030</t>
        </is>
      </c>
      <c r="B10" s="27" t="inlineStr">
        <is>
          <t>Facharbeiterstunde Prüftechnik</t>
        </is>
      </c>
      <c r="C10" s="26" t="inlineStr">
        <is>
          <t>h</t>
        </is>
      </c>
      <c r="D10" s="28" t="n"/>
      <c r="E10" s="29" t="n">
        <v>68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DG.040</t>
        </is>
      </c>
      <c r="B11" s="27" t="inlineStr">
        <is>
          <t>Prüfung ortsfeste elektrische Anlage (Grundpreis)</t>
        </is>
      </c>
      <c r="C11" s="26" t="inlineStr">
        <is>
          <t>psch.</t>
        </is>
      </c>
      <c r="D11" s="28" t="n"/>
      <c r="E11" s="29" t="n">
        <v>145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26" t="inlineStr">
        <is>
          <t>DG.050</t>
        </is>
      </c>
      <c r="B12" s="27" t="inlineStr">
        <is>
          <t>Prüfung ortsveränderliches Betriebsmittel (je Gerät)</t>
        </is>
      </c>
      <c r="C12" s="26" t="inlineStr">
        <is>
          <t>Stk</t>
        </is>
      </c>
      <c r="D12" s="28" t="n"/>
      <c r="E12" s="29" t="n">
        <v>4.5</v>
      </c>
      <c r="F12" s="29">
        <f>IF(D12="",0,D12*E12)</f>
        <v/>
      </c>
      <c r="G12" s="29">
        <f>F12*0.19</f>
        <v/>
      </c>
      <c r="H12" s="29">
        <f>F12+G12</f>
        <v/>
      </c>
    </row>
    <row r="13">
      <c r="A13" s="26" t="inlineStr">
        <is>
          <t>DG.060</t>
        </is>
      </c>
      <c r="B13" s="27" t="inlineStr">
        <is>
          <t>Prüfung Maschine / Anlage (je Maschine)</t>
        </is>
      </c>
      <c r="C13" s="26" t="inlineStr">
        <is>
          <t>Stk</t>
        </is>
      </c>
      <c r="D13" s="28" t="n"/>
      <c r="E13" s="29" t="n">
        <v>35</v>
      </c>
      <c r="F13" s="29">
        <f>IF(D13="",0,D13*E13)</f>
        <v/>
      </c>
      <c r="G13" s="29">
        <f>F13*0.19</f>
        <v/>
      </c>
      <c r="H13" s="29">
        <f>F13+G13</f>
        <v/>
      </c>
    </row>
    <row r="14">
      <c r="A14" s="26" t="inlineStr">
        <is>
          <t>DG.070</t>
        </is>
      </c>
      <c r="B14" s="27" t="inlineStr">
        <is>
          <t>Prüfung Schaltschrank / Verteilung</t>
        </is>
      </c>
      <c r="C14" s="26" t="inlineStr">
        <is>
          <t>Stk</t>
        </is>
      </c>
      <c r="D14" s="28" t="n"/>
      <c r="E14" s="29" t="n">
        <v>65</v>
      </c>
      <c r="F14" s="29">
        <f>IF(D14="",0,D14*E14)</f>
        <v/>
      </c>
      <c r="G14" s="29">
        <f>F14*0.19</f>
        <v/>
      </c>
      <c r="H14" s="29">
        <f>F14+G14</f>
        <v/>
      </c>
    </row>
    <row r="15">
      <c r="A15" s="26" t="inlineStr">
        <is>
          <t>DG.080</t>
        </is>
      </c>
      <c r="B15" s="27" t="inlineStr">
        <is>
          <t>Dokumentation u. Prüfbericht</t>
        </is>
      </c>
      <c r="C15" s="26" t="inlineStr">
        <is>
          <t>psch.</t>
        </is>
      </c>
      <c r="D15" s="28" t="n"/>
      <c r="E15" s="29" t="n">
        <v>45</v>
      </c>
      <c r="F15" s="29">
        <f>IF(D15="",0,D15*E15)</f>
        <v/>
      </c>
      <c r="G15" s="29">
        <f>F15*0.19</f>
        <v/>
      </c>
      <c r="H15" s="29">
        <f>F15+G15</f>
        <v/>
      </c>
    </row>
    <row r="16">
      <c r="A16" s="26" t="inlineStr">
        <is>
          <t>DG.090</t>
        </is>
      </c>
      <c r="B16" s="27" t="inlineStr">
        <is>
          <t>Mängelbeseitigung (Kleinreparatur, je angef. Stunde)</t>
        </is>
      </c>
      <c r="C16" s="26" t="inlineStr">
        <is>
          <t>h</t>
        </is>
      </c>
      <c r="D16" s="28" t="n"/>
      <c r="E16" s="29" t="n">
        <v>68</v>
      </c>
      <c r="F16" s="29">
        <f>IF(D16="",0,D16*E16)</f>
        <v/>
      </c>
      <c r="G16" s="29">
        <f>F16*0.19</f>
        <v/>
      </c>
      <c r="H16" s="29">
        <f>F16+G16</f>
        <v/>
      </c>
    </row>
    <row r="17">
      <c r="A17" s="26" t="inlineStr">
        <is>
          <t>DG.100</t>
        </is>
      </c>
      <c r="B17" s="27" t="inlineStr">
        <is>
          <t>Anfahrtspauschale</t>
        </is>
      </c>
      <c r="C17" s="26" t="inlineStr">
        <is>
          <t>psch.</t>
        </is>
      </c>
      <c r="D17" s="28" t="n"/>
      <c r="E17" s="29" t="n">
        <v>39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30" t="n"/>
      <c r="B18" s="31" t="inlineStr">
        <is>
          <t>Zwischensumme – Arbeitsleistung / Lohn</t>
        </is>
      </c>
      <c r="C18" s="30" t="n"/>
      <c r="D18" s="30" t="n"/>
      <c r="E18" s="30" t="n"/>
      <c r="F18" s="32">
        <f>SUM(F10:F17)</f>
        <v/>
      </c>
      <c r="G18" s="32">
        <f>SUM(G10:G17)</f>
        <v/>
      </c>
      <c r="H18" s="32">
        <f>SUM(H10:H17)</f>
        <v/>
      </c>
    </row>
    <row r="20">
      <c r="A20" s="35" t="inlineStr">
        <is>
          <t>Mischpositionen (Material + Arbeit + Geräte komplett)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>
      <c r="A21" s="26" t="inlineStr">
        <is>
          <t>DG.110</t>
        </is>
      </c>
      <c r="B21" s="27" t="inlineStr">
        <is>
          <t>DGUV-V3-Prüfpaket Kleinbetrieb (bis 50 Geräte)</t>
        </is>
      </c>
      <c r="C21" s="26" t="inlineStr">
        <is>
          <t>psch.</t>
        </is>
      </c>
      <c r="D21" s="28" t="n"/>
      <c r="E21" s="29" t="n">
        <v>390</v>
      </c>
      <c r="F21" s="29">
        <f>IF(D21="",0,D21*E21)</f>
        <v/>
      </c>
      <c r="G21" s="29">
        <f>F21*0.19</f>
        <v/>
      </c>
      <c r="H21" s="29">
        <f>F21+G21</f>
        <v/>
      </c>
    </row>
    <row r="22">
      <c r="A22" s="26" t="inlineStr">
        <is>
          <t>DG.120</t>
        </is>
      </c>
      <c r="B22" s="27" t="inlineStr">
        <is>
          <t>DGUV-V3-Prüfpaket Mittelbetrieb (bis 150 Geräte)</t>
        </is>
      </c>
      <c r="C22" s="26" t="inlineStr">
        <is>
          <t>psch.</t>
        </is>
      </c>
      <c r="D22" s="28" t="n"/>
      <c r="E22" s="29" t="n">
        <v>890</v>
      </c>
      <c r="F22" s="29">
        <f>IF(D22="",0,D22*E22)</f>
        <v/>
      </c>
      <c r="G22" s="29">
        <f>F22*0.19</f>
        <v/>
      </c>
      <c r="H22" s="29">
        <f>F22+G22</f>
        <v/>
      </c>
    </row>
    <row r="23">
      <c r="A23" s="26" t="inlineStr">
        <is>
          <t>DG.130</t>
        </is>
      </c>
      <c r="B23" s="27" t="inlineStr">
        <is>
          <t>Wiederholungsprüfung ortsfeste Anlage komplett</t>
        </is>
      </c>
      <c r="C23" s="26" t="inlineStr">
        <is>
          <t>psch.</t>
        </is>
      </c>
      <c r="D23" s="28" t="n"/>
      <c r="E23" s="29" t="n">
        <v>245</v>
      </c>
      <c r="F23" s="29">
        <f>IF(D23="",0,D23*E23)</f>
        <v/>
      </c>
      <c r="G23" s="29">
        <f>F23*0.19</f>
        <v/>
      </c>
      <c r="H23" s="29">
        <f>F23+G23</f>
        <v/>
      </c>
    </row>
    <row r="24">
      <c r="A24" s="30" t="n"/>
      <c r="B24" s="31" t="inlineStr">
        <is>
          <t>Zwischensumme – Mischpositionen (Material + Arbeit + Geräte komplett)</t>
        </is>
      </c>
      <c r="C24" s="30" t="n"/>
      <c r="D24" s="30" t="n"/>
      <c r="E24" s="30" t="n"/>
      <c r="F24" s="32">
        <f>SUM(F21:F23)</f>
        <v/>
      </c>
      <c r="G24" s="32">
        <f>SUM(G21:G23)</f>
        <v/>
      </c>
      <c r="H24" s="32">
        <f>SUM(H21:H23)</f>
        <v/>
      </c>
    </row>
    <row r="26">
      <c r="A26" s="36" t="n"/>
      <c r="B26" s="37" t="inlineStr">
        <is>
          <t>GESAMTSUMME 9. DGUV-Prüfung (DGUV Vorschrift 3)</t>
        </is>
      </c>
      <c r="C26" s="36" t="n"/>
      <c r="D26" s="36" t="n"/>
      <c r="E26" s="36" t="n"/>
      <c r="F26" s="38">
        <f>F7+F18+F24</f>
        <v/>
      </c>
      <c r="G26" s="38">
        <f>G7+G18+G24</f>
        <v/>
      </c>
      <c r="H26" s="38">
        <f>H7+H18+H24</f>
        <v/>
      </c>
    </row>
  </sheetData>
  <mergeCells count="9">
    <mergeCell ref="A9:H9"/>
    <mergeCell ref="A4:H4"/>
    <mergeCell ref="B26:E26"/>
    <mergeCell ref="B18:E18"/>
    <mergeCell ref="A20:H20"/>
    <mergeCell ref="A2:H2"/>
    <mergeCell ref="B7:E7"/>
    <mergeCell ref="B24:E24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10. E-Check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EC.010</t>
        </is>
      </c>
      <c r="B5" s="27" t="inlineStr">
        <is>
          <t>Prüfplakette E-Check</t>
        </is>
      </c>
      <c r="C5" s="26" t="inlineStr">
        <is>
          <t>Stk</t>
        </is>
      </c>
      <c r="D5" s="28" t="n"/>
      <c r="E5" s="29" t="n">
        <v>1.2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30" t="n"/>
      <c r="B6" s="31" t="inlineStr">
        <is>
          <t>Zwischensumme – Material</t>
        </is>
      </c>
      <c r="C6" s="30" t="n"/>
      <c r="D6" s="30" t="n"/>
      <c r="E6" s="30" t="n"/>
      <c r="F6" s="32">
        <f>SUM(F5:F5)</f>
        <v/>
      </c>
      <c r="G6" s="32">
        <f>SUM(G5:G5)</f>
        <v/>
      </c>
      <c r="H6" s="32">
        <f>SUM(H5:H5)</f>
        <v/>
      </c>
    </row>
    <row r="8">
      <c r="A8" s="33" t="inlineStr">
        <is>
          <t>Arbeitsleistung / Lohn</t>
        </is>
      </c>
      <c r="B8" s="25" t="n"/>
      <c r="C8" s="25" t="n"/>
      <c r="D8" s="25" t="n"/>
      <c r="E8" s="25" t="n"/>
      <c r="F8" s="25" t="n"/>
      <c r="G8" s="25" t="n"/>
      <c r="H8" s="25" t="n"/>
    </row>
    <row r="9">
      <c r="A9" s="26" t="inlineStr">
        <is>
          <t>EC.020</t>
        </is>
      </c>
      <c r="B9" s="27" t="inlineStr">
        <is>
          <t>Facharbeiterstunde E-Check</t>
        </is>
      </c>
      <c r="C9" s="26" t="inlineStr">
        <is>
          <t>h</t>
        </is>
      </c>
      <c r="D9" s="28" t="n"/>
      <c r="E9" s="29" t="n">
        <v>68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EC.030</t>
        </is>
      </c>
      <c r="B10" s="27" t="inlineStr">
        <is>
          <t>E-Check Wohnung (bis 80 m²)</t>
        </is>
      </c>
      <c r="C10" s="26" t="inlineStr">
        <is>
          <t>psch.</t>
        </is>
      </c>
      <c r="D10" s="28" t="n"/>
      <c r="E10" s="29" t="n">
        <v>165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EC.040</t>
        </is>
      </c>
      <c r="B11" s="27" t="inlineStr">
        <is>
          <t>E-Check Einfamilienhaus</t>
        </is>
      </c>
      <c r="C11" s="26" t="inlineStr">
        <is>
          <t>psch.</t>
        </is>
      </c>
      <c r="D11" s="28" t="n"/>
      <c r="E11" s="29" t="n">
        <v>245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26" t="inlineStr">
        <is>
          <t>EC.050</t>
        </is>
      </c>
      <c r="B12" s="27" t="inlineStr">
        <is>
          <t>E-Check Gewerbe (Grundpreis, je nach Größe)</t>
        </is>
      </c>
      <c r="C12" s="26" t="inlineStr">
        <is>
          <t>psch.</t>
        </is>
      </c>
      <c r="D12" s="28" t="n"/>
      <c r="E12" s="29" t="n">
        <v>320</v>
      </c>
      <c r="F12" s="29">
        <f>IF(D12="",0,D12*E12)</f>
        <v/>
      </c>
      <c r="G12" s="29">
        <f>F12*0.19</f>
        <v/>
      </c>
      <c r="H12" s="29">
        <f>F12+G12</f>
        <v/>
      </c>
    </row>
    <row r="13">
      <c r="A13" s="26" t="inlineStr">
        <is>
          <t>EC.060</t>
        </is>
      </c>
      <c r="B13" s="27" t="inlineStr">
        <is>
          <t>Thermografie-Zusatzprüfung</t>
        </is>
      </c>
      <c r="C13" s="26" t="inlineStr">
        <is>
          <t>psch.</t>
        </is>
      </c>
      <c r="D13" s="28" t="n"/>
      <c r="E13" s="29" t="n">
        <v>145</v>
      </c>
      <c r="F13" s="29">
        <f>IF(D13="",0,D13*E13)</f>
        <v/>
      </c>
      <c r="G13" s="29">
        <f>F13*0.19</f>
        <v/>
      </c>
      <c r="H13" s="29">
        <f>F13+G13</f>
        <v/>
      </c>
    </row>
    <row r="14">
      <c r="A14" s="26" t="inlineStr">
        <is>
          <t>EC.070</t>
        </is>
      </c>
      <c r="B14" s="27" t="inlineStr">
        <is>
          <t>Prüfprotokoll u. Dokumentation</t>
        </is>
      </c>
      <c r="C14" s="26" t="inlineStr">
        <is>
          <t>psch.</t>
        </is>
      </c>
      <c r="D14" s="28" t="n"/>
      <c r="E14" s="29" t="n">
        <v>35</v>
      </c>
      <c r="F14" s="29">
        <f>IF(D14="",0,D14*E14)</f>
        <v/>
      </c>
      <c r="G14" s="29">
        <f>F14*0.19</f>
        <v/>
      </c>
      <c r="H14" s="29">
        <f>F14+G14</f>
        <v/>
      </c>
    </row>
    <row r="15">
      <c r="A15" s="26" t="inlineStr">
        <is>
          <t>EC.080</t>
        </is>
      </c>
      <c r="B15" s="27" t="inlineStr">
        <is>
          <t>Anfahrtspauschale</t>
        </is>
      </c>
      <c r="C15" s="26" t="inlineStr">
        <is>
          <t>psch.</t>
        </is>
      </c>
      <c r="D15" s="28" t="n"/>
      <c r="E15" s="29" t="n">
        <v>39</v>
      </c>
      <c r="F15" s="29">
        <f>IF(D15="",0,D15*E15)</f>
        <v/>
      </c>
      <c r="G15" s="29">
        <f>F15*0.19</f>
        <v/>
      </c>
      <c r="H15" s="29">
        <f>F15+G15</f>
        <v/>
      </c>
    </row>
    <row r="16">
      <c r="A16" s="30" t="n"/>
      <c r="B16" s="31" t="inlineStr">
        <is>
          <t>Zwischensumme – Arbeitsleistung / Lohn</t>
        </is>
      </c>
      <c r="C16" s="30" t="n"/>
      <c r="D16" s="30" t="n"/>
      <c r="E16" s="30" t="n"/>
      <c r="F16" s="32">
        <f>SUM(F9:F15)</f>
        <v/>
      </c>
      <c r="G16" s="32">
        <f>SUM(G9:G15)</f>
        <v/>
      </c>
      <c r="H16" s="32">
        <f>SUM(H9:H15)</f>
        <v/>
      </c>
    </row>
    <row r="18">
      <c r="A18" s="35" t="inlineStr">
        <is>
          <t>Mischpositionen (Material + Arbeit + Geräte komplett)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>
      <c r="A19" s="26" t="inlineStr">
        <is>
          <t>EC.090</t>
        </is>
      </c>
      <c r="B19" s="27" t="inlineStr">
        <is>
          <t>E-Check Komplettpaket Wohnung inkl. Protokoll u. Plakette</t>
        </is>
      </c>
      <c r="C19" s="26" t="inlineStr">
        <is>
          <t>psch.</t>
        </is>
      </c>
      <c r="D19" s="28" t="n"/>
      <c r="E19" s="29" t="n">
        <v>195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EC.100</t>
        </is>
      </c>
      <c r="B20" s="27" t="inlineStr">
        <is>
          <t>E-Check Komplettpaket Haus inkl. Thermografie</t>
        </is>
      </c>
      <c r="C20" s="26" t="inlineStr">
        <is>
          <t>psch.</t>
        </is>
      </c>
      <c r="D20" s="28" t="n"/>
      <c r="E20" s="29" t="n">
        <v>365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30" t="n"/>
      <c r="B21" s="31" t="inlineStr">
        <is>
          <t>Zwischensumme – Mischpositionen (Material + Arbeit + Geräte komplett)</t>
        </is>
      </c>
      <c r="C21" s="30" t="n"/>
      <c r="D21" s="30" t="n"/>
      <c r="E21" s="30" t="n"/>
      <c r="F21" s="32">
        <f>SUM(F19:F20)</f>
        <v/>
      </c>
      <c r="G21" s="32">
        <f>SUM(G19:G20)</f>
        <v/>
      </c>
      <c r="H21" s="32">
        <f>SUM(H19:H20)</f>
        <v/>
      </c>
    </row>
    <row r="23">
      <c r="A23" s="36" t="n"/>
      <c r="B23" s="37" t="inlineStr">
        <is>
          <t>GESAMTSUMME 10. E-Check</t>
        </is>
      </c>
      <c r="C23" s="36" t="n"/>
      <c r="D23" s="36" t="n"/>
      <c r="E23" s="36" t="n"/>
      <c r="F23" s="38">
        <f>F6+F16+F21</f>
        <v/>
      </c>
      <c r="G23" s="38">
        <f>G6+G16+G21</f>
        <v/>
      </c>
      <c r="H23" s="38">
        <f>H6+H16+H21</f>
        <v/>
      </c>
    </row>
  </sheetData>
  <mergeCells count="9">
    <mergeCell ref="A18:H18"/>
    <mergeCell ref="A4:H4"/>
    <mergeCell ref="B23:E23"/>
    <mergeCell ref="A2:H2"/>
    <mergeCell ref="B6:E6"/>
    <mergeCell ref="B21:E21"/>
    <mergeCell ref="B16:E16"/>
    <mergeCell ref="A1:H1"/>
    <mergeCell ref="A8:H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11. Wartung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33" t="inlineStr">
        <is>
          <t>Arbeitsleistung / Lohn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WT.010</t>
        </is>
      </c>
      <c r="B5" s="27" t="inlineStr">
        <is>
          <t>Facharbeiterstunde Wartung / Service</t>
        </is>
      </c>
      <c r="C5" s="26" t="inlineStr">
        <is>
          <t>h</t>
        </is>
      </c>
      <c r="D5" s="28" t="n"/>
      <c r="E5" s="29" t="n">
        <v>68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WT.020</t>
        </is>
      </c>
      <c r="B6" s="27" t="inlineStr">
        <is>
          <t>Wartung Elektroinstallation (jährlich, Grundpreis)</t>
        </is>
      </c>
      <c r="C6" s="26" t="inlineStr">
        <is>
          <t>psch.</t>
        </is>
      </c>
      <c r="D6" s="28" t="n"/>
      <c r="E6" s="29" t="n">
        <v>145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WT.030</t>
        </is>
      </c>
      <c r="B7" s="27" t="inlineStr">
        <is>
          <t>Wartung PV-Anlage (elektroseitig, jährlich)</t>
        </is>
      </c>
      <c r="C7" s="26" t="inlineStr">
        <is>
          <t>psch.</t>
        </is>
      </c>
      <c r="D7" s="28" t="n"/>
      <c r="E7" s="29" t="n">
        <v>185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WT.040</t>
        </is>
      </c>
      <c r="B8" s="27" t="inlineStr">
        <is>
          <t>Wartung Wallbox (jährlich)</t>
        </is>
      </c>
      <c r="C8" s="26" t="inlineStr">
        <is>
          <t>psch.</t>
        </is>
      </c>
      <c r="D8" s="28" t="n"/>
      <c r="E8" s="29" t="n">
        <v>95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WT.050</t>
        </is>
      </c>
      <c r="B9" s="27" t="inlineStr">
        <is>
          <t>Wartung Wärmepumpe (elektroseitig, jährlich)</t>
        </is>
      </c>
      <c r="C9" s="26" t="inlineStr">
        <is>
          <t>psch.</t>
        </is>
      </c>
      <c r="D9" s="28" t="n"/>
      <c r="E9" s="29" t="n">
        <v>95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WT.060</t>
        </is>
      </c>
      <c r="B10" s="27" t="inlineStr">
        <is>
          <t>Wartung Smart-Home-System (jährlich)</t>
        </is>
      </c>
      <c r="C10" s="26" t="inlineStr">
        <is>
          <t>psch.</t>
        </is>
      </c>
      <c r="D10" s="28" t="n"/>
      <c r="E10" s="29" t="n">
        <v>145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WT.070</t>
        </is>
      </c>
      <c r="B11" s="27" t="inlineStr">
        <is>
          <t>Wartung Beleuchtungsanlage (jährlich)</t>
        </is>
      </c>
      <c r="C11" s="26" t="inlineStr">
        <is>
          <t>psch.</t>
        </is>
      </c>
      <c r="D11" s="28" t="n"/>
      <c r="E11" s="29" t="n">
        <v>85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26" t="inlineStr">
        <is>
          <t>WT.080</t>
        </is>
      </c>
      <c r="B12" s="27" t="inlineStr">
        <is>
          <t>Störungsbehebung (Grundpreis + Zeit)</t>
        </is>
      </c>
      <c r="C12" s="26" t="inlineStr">
        <is>
          <t>psch.</t>
        </is>
      </c>
      <c r="D12" s="28" t="n"/>
      <c r="E12" s="29" t="n">
        <v>65</v>
      </c>
      <c r="F12" s="29">
        <f>IF(D12="",0,D12*E12)</f>
        <v/>
      </c>
      <c r="G12" s="29">
        <f>F12*0.19</f>
        <v/>
      </c>
      <c r="H12" s="29">
        <f>F12+G12</f>
        <v/>
      </c>
    </row>
    <row r="13">
      <c r="A13" s="26" t="inlineStr">
        <is>
          <t>WT.090</t>
        </is>
      </c>
      <c r="B13" s="27" t="inlineStr">
        <is>
          <t>Thermografie-Untersuchung Verteilung</t>
        </is>
      </c>
      <c r="C13" s="26" t="inlineStr">
        <is>
          <t>psch.</t>
        </is>
      </c>
      <c r="D13" s="28" t="n"/>
      <c r="E13" s="29" t="n">
        <v>165</v>
      </c>
      <c r="F13" s="29">
        <f>IF(D13="",0,D13*E13)</f>
        <v/>
      </c>
      <c r="G13" s="29">
        <f>F13*0.19</f>
        <v/>
      </c>
      <c r="H13" s="29">
        <f>F13+G13</f>
        <v/>
      </c>
    </row>
    <row r="14">
      <c r="A14" s="26" t="inlineStr">
        <is>
          <t>WT.100</t>
        </is>
      </c>
      <c r="B14" s="27" t="inlineStr">
        <is>
          <t>Anfahrtspauschale</t>
        </is>
      </c>
      <c r="C14" s="26" t="inlineStr">
        <is>
          <t>psch.</t>
        </is>
      </c>
      <c r="D14" s="28" t="n"/>
      <c r="E14" s="29" t="n">
        <v>39</v>
      </c>
      <c r="F14" s="29">
        <f>IF(D14="",0,D14*E14)</f>
        <v/>
      </c>
      <c r="G14" s="29">
        <f>F14*0.19</f>
        <v/>
      </c>
      <c r="H14" s="29">
        <f>F14+G14</f>
        <v/>
      </c>
    </row>
    <row r="15">
      <c r="A15" s="30" t="n"/>
      <c r="B15" s="31" t="inlineStr">
        <is>
          <t>Zwischensumme – Arbeitsleistung / Lohn</t>
        </is>
      </c>
      <c r="C15" s="30" t="n"/>
      <c r="D15" s="30" t="n"/>
      <c r="E15" s="30" t="n"/>
      <c r="F15" s="32">
        <f>SUM(F5:F14)</f>
        <v/>
      </c>
      <c r="G15" s="32">
        <f>SUM(G5:G14)</f>
        <v/>
      </c>
      <c r="H15" s="32">
        <f>SUM(H5:H14)</f>
        <v/>
      </c>
    </row>
    <row r="17">
      <c r="A17" s="35" t="inlineStr">
        <is>
          <t>Mischpositionen (Material + Arbeit + Geräte komplett)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>
      <c r="A18" s="26" t="inlineStr">
        <is>
          <t>WT.110</t>
        </is>
      </c>
      <c r="B18" s="27" t="inlineStr">
        <is>
          <t>Wartungsvertrag Basic (1x jährlich, 1 Gewerk)</t>
        </is>
      </c>
      <c r="C18" s="26" t="inlineStr">
        <is>
          <t>psch./Jahr</t>
        </is>
      </c>
      <c r="D18" s="28" t="n"/>
      <c r="E18" s="29" t="n">
        <v>185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WT.120</t>
        </is>
      </c>
      <c r="B19" s="27" t="inlineStr">
        <is>
          <t>Wartungsvertrag Komfort (1x jährlich, bis 3 Gewerke)</t>
        </is>
      </c>
      <c r="C19" s="26" t="inlineStr">
        <is>
          <t>psch./Jahr</t>
        </is>
      </c>
      <c r="D19" s="28" t="n"/>
      <c r="E19" s="29" t="n">
        <v>420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WT.130</t>
        </is>
      </c>
      <c r="B20" s="27" t="inlineStr">
        <is>
          <t>Wartungsvertrag Premium (2x jährlich, alle Gewerke inkl. Thermografie)</t>
        </is>
      </c>
      <c r="C20" s="26" t="inlineStr">
        <is>
          <t>psch./Jahr</t>
        </is>
      </c>
      <c r="D20" s="28" t="n"/>
      <c r="E20" s="29" t="n">
        <v>890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30" t="n"/>
      <c r="B21" s="31" t="inlineStr">
        <is>
          <t>Zwischensumme – Mischpositionen (Material + Arbeit + Geräte komplett)</t>
        </is>
      </c>
      <c r="C21" s="30" t="n"/>
      <c r="D21" s="30" t="n"/>
      <c r="E21" s="30" t="n"/>
      <c r="F21" s="32">
        <f>SUM(F18:F20)</f>
        <v/>
      </c>
      <c r="G21" s="32">
        <f>SUM(G18:G20)</f>
        <v/>
      </c>
      <c r="H21" s="32">
        <f>SUM(H18:H20)</f>
        <v/>
      </c>
    </row>
    <row r="23">
      <c r="A23" s="36" t="n"/>
      <c r="B23" s="37" t="inlineStr">
        <is>
          <t>GESAMTSUMME 11. Wartung</t>
        </is>
      </c>
      <c r="C23" s="36" t="n"/>
      <c r="D23" s="36" t="n"/>
      <c r="E23" s="36" t="n"/>
      <c r="F23" s="38">
        <f>F15+F21</f>
        <v/>
      </c>
      <c r="G23" s="38">
        <f>G15+G21</f>
        <v/>
      </c>
      <c r="H23" s="38">
        <f>H15+H21</f>
        <v/>
      </c>
    </row>
  </sheetData>
  <mergeCells count="7">
    <mergeCell ref="A4:H4"/>
    <mergeCell ref="B23:E23"/>
    <mergeCell ref="A2:H2"/>
    <mergeCell ref="B21:E21"/>
    <mergeCell ref="B15:E15"/>
    <mergeCell ref="A1:H1"/>
    <mergeCell ref="A17:H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12. Sicherheitstechnik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ST.010</t>
        </is>
      </c>
      <c r="B5" s="27" t="inlineStr">
        <is>
          <t>Alarmzentrale (Funk/Draht, modular)</t>
        </is>
      </c>
      <c r="C5" s="26" t="inlineStr">
        <is>
          <t>Stk</t>
        </is>
      </c>
      <c r="D5" s="28" t="n"/>
      <c r="E5" s="29" t="n">
        <v>320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ST.020</t>
        </is>
      </c>
      <c r="B6" s="27" t="inlineStr">
        <is>
          <t>Bewegungsmelder Alarm (Innen)</t>
        </is>
      </c>
      <c r="C6" s="26" t="inlineStr">
        <is>
          <t>Stk</t>
        </is>
      </c>
      <c r="D6" s="28" t="n"/>
      <c r="E6" s="29" t="n">
        <v>55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ST.030</t>
        </is>
      </c>
      <c r="B7" s="27" t="inlineStr">
        <is>
          <t>Tür-/Fensterkontakt (Funk)</t>
        </is>
      </c>
      <c r="C7" s="26" t="inlineStr">
        <is>
          <t>Stk</t>
        </is>
      </c>
      <c r="D7" s="28" t="n"/>
      <c r="E7" s="29" t="n">
        <v>32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ST.040</t>
        </is>
      </c>
      <c r="B8" s="27" t="inlineStr">
        <is>
          <t>Sirene Innen / Außen</t>
        </is>
      </c>
      <c r="C8" s="26" t="inlineStr">
        <is>
          <t>Stk</t>
        </is>
      </c>
      <c r="D8" s="28" t="n"/>
      <c r="E8" s="29" t="n">
        <v>85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ST.050</t>
        </is>
      </c>
      <c r="B9" s="27" t="inlineStr">
        <is>
          <t>Überwachungskamera (IP, PoE)</t>
        </is>
      </c>
      <c r="C9" s="26" t="inlineStr">
        <is>
          <t>Stk</t>
        </is>
      </c>
      <c r="D9" s="28" t="n"/>
      <c r="E9" s="29" t="n">
        <v>145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ST.060</t>
        </is>
      </c>
      <c r="B10" s="27" t="inlineStr">
        <is>
          <t>Bedienteil / Tastatur</t>
        </is>
      </c>
      <c r="C10" s="26" t="inlineStr">
        <is>
          <t>Stk</t>
        </is>
      </c>
      <c r="D10" s="28" t="n"/>
      <c r="E10" s="29" t="n">
        <v>95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ST.070</t>
        </is>
      </c>
      <c r="B11" s="27" t="inlineStr">
        <is>
          <t>Notstromversorgung (Akku-Backup)</t>
        </is>
      </c>
      <c r="C11" s="26" t="inlineStr">
        <is>
          <t>Stk</t>
        </is>
      </c>
      <c r="D11" s="28" t="n"/>
      <c r="E11" s="29" t="n">
        <v>65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30" t="n"/>
      <c r="B12" s="31" t="inlineStr">
        <is>
          <t>Zwischensumme – Material</t>
        </is>
      </c>
      <c r="C12" s="30" t="n"/>
      <c r="D12" s="30" t="n"/>
      <c r="E12" s="30" t="n"/>
      <c r="F12" s="32">
        <f>SUM(F5:F11)</f>
        <v/>
      </c>
      <c r="G12" s="32">
        <f>SUM(G5:G11)</f>
        <v/>
      </c>
      <c r="H12" s="32">
        <f>SUM(H5:H11)</f>
        <v/>
      </c>
    </row>
    <row r="14">
      <c r="A14" s="33" t="inlineStr">
        <is>
          <t>Arbeitsleistung / Lohn</t>
        </is>
      </c>
      <c r="B14" s="25" t="n"/>
      <c r="C14" s="25" t="n"/>
      <c r="D14" s="25" t="n"/>
      <c r="E14" s="25" t="n"/>
      <c r="F14" s="25" t="n"/>
      <c r="G14" s="25" t="n"/>
      <c r="H14" s="25" t="n"/>
    </row>
    <row r="15">
      <c r="A15" s="26" t="inlineStr">
        <is>
          <t>ST.080</t>
        </is>
      </c>
      <c r="B15" s="27" t="inlineStr">
        <is>
          <t>Facharbeiterstunde Sicherheitstechnik</t>
        </is>
      </c>
      <c r="C15" s="26" t="inlineStr">
        <is>
          <t>h</t>
        </is>
      </c>
      <c r="D15" s="28" t="n"/>
      <c r="E15" s="29" t="n">
        <v>68</v>
      </c>
      <c r="F15" s="29">
        <f>IF(D15="",0,D15*E15)</f>
        <v/>
      </c>
      <c r="G15" s="29">
        <f>F15*0.19</f>
        <v/>
      </c>
      <c r="H15" s="29">
        <f>F15+G15</f>
        <v/>
      </c>
    </row>
    <row r="16">
      <c r="A16" s="26" t="inlineStr">
        <is>
          <t>ST.090</t>
        </is>
      </c>
      <c r="B16" s="27" t="inlineStr">
        <is>
          <t>Montage Alarmzentrale</t>
        </is>
      </c>
      <c r="C16" s="26" t="inlineStr">
        <is>
          <t>Stk</t>
        </is>
      </c>
      <c r="D16" s="28" t="n"/>
      <c r="E16" s="29" t="n">
        <v>120</v>
      </c>
      <c r="F16" s="29">
        <f>IF(D16="",0,D16*E16)</f>
        <v/>
      </c>
      <c r="G16" s="29">
        <f>F16*0.19</f>
        <v/>
      </c>
      <c r="H16" s="29">
        <f>F16+G16</f>
        <v/>
      </c>
    </row>
    <row r="17">
      <c r="A17" s="26" t="inlineStr">
        <is>
          <t>ST.100</t>
        </is>
      </c>
      <c r="B17" s="27" t="inlineStr">
        <is>
          <t>Montage / Anschluss Melder/Kontakt je Stück</t>
        </is>
      </c>
      <c r="C17" s="26" t="inlineStr">
        <is>
          <t>Stk</t>
        </is>
      </c>
      <c r="D17" s="28" t="n"/>
      <c r="E17" s="29" t="n">
        <v>25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26" t="inlineStr">
        <is>
          <t>ST.110</t>
        </is>
      </c>
      <c r="B18" s="27" t="inlineStr">
        <is>
          <t>Programmierung / Inbetriebnahme Gesamtsystem</t>
        </is>
      </c>
      <c r="C18" s="26" t="inlineStr">
        <is>
          <t>psch.</t>
        </is>
      </c>
      <c r="D18" s="28" t="n"/>
      <c r="E18" s="29" t="n">
        <v>165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ST.120</t>
        </is>
      </c>
      <c r="B19" s="27" t="inlineStr">
        <is>
          <t>Einweisung Kunde</t>
        </is>
      </c>
      <c r="C19" s="26" t="inlineStr">
        <is>
          <t>psch.</t>
        </is>
      </c>
      <c r="D19" s="28" t="n"/>
      <c r="E19" s="29" t="n">
        <v>45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ST.130</t>
        </is>
      </c>
      <c r="B20" s="27" t="inlineStr">
        <is>
          <t>Anfahrtspauschale</t>
        </is>
      </c>
      <c r="C20" s="26" t="inlineStr">
        <is>
          <t>psch.</t>
        </is>
      </c>
      <c r="D20" s="28" t="n"/>
      <c r="E20" s="29" t="n">
        <v>39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30" t="n"/>
      <c r="B21" s="31" t="inlineStr">
        <is>
          <t>Zwischensumme – Arbeitsleistung / Lohn</t>
        </is>
      </c>
      <c r="C21" s="30" t="n"/>
      <c r="D21" s="30" t="n"/>
      <c r="E21" s="30" t="n"/>
      <c r="F21" s="32">
        <f>SUM(F15:F20)</f>
        <v/>
      </c>
      <c r="G21" s="32">
        <f>SUM(G15:G20)</f>
        <v/>
      </c>
      <c r="H21" s="32">
        <f>SUM(H15:H20)</f>
        <v/>
      </c>
    </row>
    <row r="23">
      <c r="A23" s="35" t="inlineStr">
        <is>
          <t>Mischpositionen (Material + Arbeit + Geräte komplett)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>
      <c r="A24" s="26" t="inlineStr">
        <is>
          <t>ST.140</t>
        </is>
      </c>
      <c r="B24" s="27" t="inlineStr">
        <is>
          <t>Alarmanlagen-Komplettpaket Wohnung (bis 4 Melder)</t>
        </is>
      </c>
      <c r="C24" s="26" t="inlineStr">
        <is>
          <t>psch.</t>
        </is>
      </c>
      <c r="D24" s="28" t="n"/>
      <c r="E24" s="29" t="n">
        <v>990</v>
      </c>
      <c r="F24" s="29">
        <f>IF(D24="",0,D24*E24)</f>
        <v/>
      </c>
      <c r="G24" s="29">
        <f>F24*0.19</f>
        <v/>
      </c>
      <c r="H24" s="29">
        <f>F24+G24</f>
        <v/>
      </c>
    </row>
    <row r="25">
      <c r="A25" s="26" t="inlineStr">
        <is>
          <t>ST.150</t>
        </is>
      </c>
      <c r="B25" s="27" t="inlineStr">
        <is>
          <t>Alarmanlagen-Komplettpaket Haus (bis 8 Melder + 2 Kameras)</t>
        </is>
      </c>
      <c r="C25" s="26" t="inlineStr">
        <is>
          <t>psch.</t>
        </is>
      </c>
      <c r="D25" s="28" t="n"/>
      <c r="E25" s="29" t="n">
        <v>1890</v>
      </c>
      <c r="F25" s="29">
        <f>IF(D25="",0,D25*E25)</f>
        <v/>
      </c>
      <c r="G25" s="29">
        <f>F25*0.19</f>
        <v/>
      </c>
      <c r="H25" s="29">
        <f>F25+G25</f>
        <v/>
      </c>
    </row>
    <row r="26">
      <c r="A26" s="26" t="inlineStr">
        <is>
          <t>ST.160</t>
        </is>
      </c>
      <c r="B26" s="27" t="inlineStr">
        <is>
          <t>Kamera-Nachrüstung komplett (je Kamera)</t>
        </is>
      </c>
      <c r="C26" s="26" t="inlineStr">
        <is>
          <t>Stk</t>
        </is>
      </c>
      <c r="D26" s="28" t="n"/>
      <c r="E26" s="29" t="n">
        <v>220</v>
      </c>
      <c r="F26" s="29">
        <f>IF(D26="",0,D26*E26)</f>
        <v/>
      </c>
      <c r="G26" s="29">
        <f>F26*0.19</f>
        <v/>
      </c>
      <c r="H26" s="29">
        <f>F26+G26</f>
        <v/>
      </c>
    </row>
    <row r="27">
      <c r="A27" s="30" t="n"/>
      <c r="B27" s="31" t="inlineStr">
        <is>
          <t>Zwischensumme – Mischpositionen (Material + Arbeit + Geräte komplett)</t>
        </is>
      </c>
      <c r="C27" s="30" t="n"/>
      <c r="D27" s="30" t="n"/>
      <c r="E27" s="30" t="n"/>
      <c r="F27" s="32">
        <f>SUM(F24:F26)</f>
        <v/>
      </c>
      <c r="G27" s="32">
        <f>SUM(G24:G26)</f>
        <v/>
      </c>
      <c r="H27" s="32">
        <f>SUM(H24:H26)</f>
        <v/>
      </c>
    </row>
    <row r="29">
      <c r="A29" s="36" t="n"/>
      <c r="B29" s="37" t="inlineStr">
        <is>
          <t>GESAMTSUMME 12. Sicherheitstechnik</t>
        </is>
      </c>
      <c r="C29" s="36" t="n"/>
      <c r="D29" s="36" t="n"/>
      <c r="E29" s="36" t="n"/>
      <c r="F29" s="38">
        <f>F12+F21+F27</f>
        <v/>
      </c>
      <c r="G29" s="38">
        <f>G12+G21+G27</f>
        <v/>
      </c>
      <c r="H29" s="38">
        <f>H12+H21+H27</f>
        <v/>
      </c>
    </row>
  </sheetData>
  <mergeCells count="9">
    <mergeCell ref="A4:H4"/>
    <mergeCell ref="B27:E27"/>
    <mergeCell ref="B12:E12"/>
    <mergeCell ref="A2:H2"/>
    <mergeCell ref="B21:E21"/>
    <mergeCell ref="B29:E29"/>
    <mergeCell ref="A14:H14"/>
    <mergeCell ref="A1:H1"/>
    <mergeCell ref="A23:H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9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4" customHeight="1">
      <c r="A1" s="21" t="inlineStr">
        <is>
          <t>neuverdrahtet – Elektro-Leistungsverzeichnis – 13. Brandmeldeanlagen</t>
        </is>
      </c>
    </row>
    <row r="2">
      <c r="A2" s="22" t="inlineStr">
        <is>
          <t>Alle Preise netto in Euro, Stand siehe Deckblatt. Menge (Spalte D) bitte für Angebots-/Rechnungserstellung ausfüllen.</t>
        </is>
      </c>
    </row>
    <row r="3">
      <c r="A3" s="23" t="inlineStr">
        <is>
          <t>Pos.</t>
        </is>
      </c>
      <c r="B3" s="23" t="inlineStr">
        <is>
          <t>Bezeichnung</t>
        </is>
      </c>
      <c r="C3" s="23" t="inlineStr">
        <is>
          <t>Einheit</t>
        </is>
      </c>
      <c r="D3" s="23" t="inlineStr">
        <is>
          <t>Menge</t>
        </is>
      </c>
      <c r="E3" s="23" t="inlineStr">
        <is>
          <t>Einzelpreis netto</t>
        </is>
      </c>
      <c r="F3" s="23" t="inlineStr">
        <is>
          <t>Gesamtpreis netto</t>
        </is>
      </c>
      <c r="G3" s="23" t="inlineStr">
        <is>
          <t>MwSt. 19%</t>
        </is>
      </c>
      <c r="H3" s="23" t="inlineStr">
        <is>
          <t>Gesamtpreis brutto</t>
        </is>
      </c>
    </row>
    <row r="4">
      <c r="A4" s="24" t="inlineStr">
        <is>
          <t>Material</t>
        </is>
      </c>
      <c r="B4" s="25" t="n"/>
      <c r="C4" s="25" t="n"/>
      <c r="D4" s="25" t="n"/>
      <c r="E4" s="25" t="n"/>
      <c r="F4" s="25" t="n"/>
      <c r="G4" s="25" t="n"/>
      <c r="H4" s="25" t="n"/>
    </row>
    <row r="5">
      <c r="A5" s="26" t="inlineStr">
        <is>
          <t>BM.010</t>
        </is>
      </c>
      <c r="B5" s="27" t="inlineStr">
        <is>
          <t>Rauchwarnmelder vernetzt (Funk, VdS)</t>
        </is>
      </c>
      <c r="C5" s="26" t="inlineStr">
        <is>
          <t>Stk</t>
        </is>
      </c>
      <c r="D5" s="28" t="n"/>
      <c r="E5" s="29" t="n">
        <v>45</v>
      </c>
      <c r="F5" s="29">
        <f>IF(D5="",0,D5*E5)</f>
        <v/>
      </c>
      <c r="G5" s="29">
        <f>F5*0.19</f>
        <v/>
      </c>
      <c r="H5" s="29">
        <f>F5+G5</f>
        <v/>
      </c>
    </row>
    <row r="6">
      <c r="A6" s="26" t="inlineStr">
        <is>
          <t>BM.020</t>
        </is>
      </c>
      <c r="B6" s="27" t="inlineStr">
        <is>
          <t>Wärmemelder (VdS-anerkannt)</t>
        </is>
      </c>
      <c r="C6" s="26" t="inlineStr">
        <is>
          <t>Stk</t>
        </is>
      </c>
      <c r="D6" s="28" t="n"/>
      <c r="E6" s="29" t="n">
        <v>58</v>
      </c>
      <c r="F6" s="29">
        <f>IF(D6="",0,D6*E6)</f>
        <v/>
      </c>
      <c r="G6" s="29">
        <f>F6*0.19</f>
        <v/>
      </c>
      <c r="H6" s="29">
        <f>F6+G6</f>
        <v/>
      </c>
    </row>
    <row r="7">
      <c r="A7" s="26" t="inlineStr">
        <is>
          <t>BM.030</t>
        </is>
      </c>
      <c r="B7" s="27" t="inlineStr">
        <is>
          <t>Brandmeldezentrale (Kleinanlage, modular)</t>
        </is>
      </c>
      <c r="C7" s="26" t="inlineStr">
        <is>
          <t>Stk</t>
        </is>
      </c>
      <c r="D7" s="28" t="n"/>
      <c r="E7" s="29" t="n">
        <v>890</v>
      </c>
      <c r="F7" s="29">
        <f>IF(D7="",0,D7*E7)</f>
        <v/>
      </c>
      <c r="G7" s="29">
        <f>F7*0.19</f>
        <v/>
      </c>
      <c r="H7" s="29">
        <f>F7+G7</f>
        <v/>
      </c>
    </row>
    <row r="8">
      <c r="A8" s="26" t="inlineStr">
        <is>
          <t>BM.040</t>
        </is>
      </c>
      <c r="B8" s="27" t="inlineStr">
        <is>
          <t>Handfeuermelder (Druckknopfmelder)</t>
        </is>
      </c>
      <c r="C8" s="26" t="inlineStr">
        <is>
          <t>Stk</t>
        </is>
      </c>
      <c r="D8" s="28" t="n"/>
      <c r="E8" s="29" t="n">
        <v>65</v>
      </c>
      <c r="F8" s="29">
        <f>IF(D8="",0,D8*E8)</f>
        <v/>
      </c>
      <c r="G8" s="29">
        <f>F8*0.19</f>
        <v/>
      </c>
      <c r="H8" s="29">
        <f>F8+G8</f>
        <v/>
      </c>
    </row>
    <row r="9">
      <c r="A9" s="26" t="inlineStr">
        <is>
          <t>BM.050</t>
        </is>
      </c>
      <c r="B9" s="27" t="inlineStr">
        <is>
          <t>Alarmsirene / Blitzleuchte</t>
        </is>
      </c>
      <c r="C9" s="26" t="inlineStr">
        <is>
          <t>Stk</t>
        </is>
      </c>
      <c r="D9" s="28" t="n"/>
      <c r="E9" s="29" t="n">
        <v>95</v>
      </c>
      <c r="F9" s="29">
        <f>IF(D9="",0,D9*E9)</f>
        <v/>
      </c>
      <c r="G9" s="29">
        <f>F9*0.19</f>
        <v/>
      </c>
      <c r="H9" s="29">
        <f>F9+G9</f>
        <v/>
      </c>
    </row>
    <row r="10">
      <c r="A10" s="26" t="inlineStr">
        <is>
          <t>BM.060</t>
        </is>
      </c>
      <c r="B10" s="27" t="inlineStr">
        <is>
          <t>Funktionserhaltkabel (E30/E90)</t>
        </is>
      </c>
      <c r="C10" s="26" t="inlineStr">
        <is>
          <t>m</t>
        </is>
      </c>
      <c r="D10" s="28" t="n"/>
      <c r="E10" s="29" t="n">
        <v>8.5</v>
      </c>
      <c r="F10" s="29">
        <f>IF(D10="",0,D10*E10)</f>
        <v/>
      </c>
      <c r="G10" s="29">
        <f>F10*0.19</f>
        <v/>
      </c>
      <c r="H10" s="29">
        <f>F10+G10</f>
        <v/>
      </c>
    </row>
    <row r="11">
      <c r="A11" s="26" t="inlineStr">
        <is>
          <t>BM.070</t>
        </is>
      </c>
      <c r="B11" s="27" t="inlineStr">
        <is>
          <t>Feuerwehr-Bedienfeld (FBF)</t>
        </is>
      </c>
      <c r="C11" s="26" t="inlineStr">
        <is>
          <t>Stk</t>
        </is>
      </c>
      <c r="D11" s="28" t="n"/>
      <c r="E11" s="29" t="n">
        <v>320</v>
      </c>
      <c r="F11" s="29">
        <f>IF(D11="",0,D11*E11)</f>
        <v/>
      </c>
      <c r="G11" s="29">
        <f>F11*0.19</f>
        <v/>
      </c>
      <c r="H11" s="29">
        <f>F11+G11</f>
        <v/>
      </c>
    </row>
    <row r="12">
      <c r="A12" s="30" t="n"/>
      <c r="B12" s="31" t="inlineStr">
        <is>
          <t>Zwischensumme – Material</t>
        </is>
      </c>
      <c r="C12" s="30" t="n"/>
      <c r="D12" s="30" t="n"/>
      <c r="E12" s="30" t="n"/>
      <c r="F12" s="32">
        <f>SUM(F5:F11)</f>
        <v/>
      </c>
      <c r="G12" s="32">
        <f>SUM(G5:G11)</f>
        <v/>
      </c>
      <c r="H12" s="32">
        <f>SUM(H5:H11)</f>
        <v/>
      </c>
    </row>
    <row r="14">
      <c r="A14" s="33" t="inlineStr">
        <is>
          <t>Arbeitsleistung / Lohn</t>
        </is>
      </c>
      <c r="B14" s="25" t="n"/>
      <c r="C14" s="25" t="n"/>
      <c r="D14" s="25" t="n"/>
      <c r="E14" s="25" t="n"/>
      <c r="F14" s="25" t="n"/>
      <c r="G14" s="25" t="n"/>
      <c r="H14" s="25" t="n"/>
    </row>
    <row r="15">
      <c r="A15" s="26" t="inlineStr">
        <is>
          <t>BM.080</t>
        </is>
      </c>
      <c r="B15" s="27" t="inlineStr">
        <is>
          <t>Facharbeiterstunde Brandmeldetechnik</t>
        </is>
      </c>
      <c r="C15" s="26" t="inlineStr">
        <is>
          <t>h</t>
        </is>
      </c>
      <c r="D15" s="28" t="n"/>
      <c r="E15" s="29" t="n">
        <v>68</v>
      </c>
      <c r="F15" s="29">
        <f>IF(D15="",0,D15*E15)</f>
        <v/>
      </c>
      <c r="G15" s="29">
        <f>F15*0.19</f>
        <v/>
      </c>
      <c r="H15" s="29">
        <f>F15+G15</f>
        <v/>
      </c>
    </row>
    <row r="16">
      <c r="A16" s="26" t="inlineStr">
        <is>
          <t>BM.090</t>
        </is>
      </c>
      <c r="B16" s="27" t="inlineStr">
        <is>
          <t>Montage Brandmeldezentrale</t>
        </is>
      </c>
      <c r="C16" s="26" t="inlineStr">
        <is>
          <t>psch.</t>
        </is>
      </c>
      <c r="D16" s="28" t="n"/>
      <c r="E16" s="29" t="n">
        <v>320</v>
      </c>
      <c r="F16" s="29">
        <f>IF(D16="",0,D16*E16)</f>
        <v/>
      </c>
      <c r="G16" s="29">
        <f>F16*0.19</f>
        <v/>
      </c>
      <c r="H16" s="29">
        <f>F16+G16</f>
        <v/>
      </c>
    </row>
    <row r="17">
      <c r="A17" s="26" t="inlineStr">
        <is>
          <t>BM.100</t>
        </is>
      </c>
      <c r="B17" s="27" t="inlineStr">
        <is>
          <t>Montage Melder je Stück</t>
        </is>
      </c>
      <c r="C17" s="26" t="inlineStr">
        <is>
          <t>Stk</t>
        </is>
      </c>
      <c r="D17" s="28" t="n"/>
      <c r="E17" s="29" t="n">
        <v>28</v>
      </c>
      <c r="F17" s="29">
        <f>IF(D17="",0,D17*E17)</f>
        <v/>
      </c>
      <c r="G17" s="29">
        <f>F17*0.19</f>
        <v/>
      </c>
      <c r="H17" s="29">
        <f>F17+G17</f>
        <v/>
      </c>
    </row>
    <row r="18">
      <c r="A18" s="26" t="inlineStr">
        <is>
          <t>BM.110</t>
        </is>
      </c>
      <c r="B18" s="27" t="inlineStr">
        <is>
          <t>Verkabelung Funktionserhalt (je m)</t>
        </is>
      </c>
      <c r="C18" s="26" t="inlineStr">
        <is>
          <t>m</t>
        </is>
      </c>
      <c r="D18" s="28" t="n"/>
      <c r="E18" s="29" t="n">
        <v>6.5</v>
      </c>
      <c r="F18" s="29">
        <f>IF(D18="",0,D18*E18)</f>
        <v/>
      </c>
      <c r="G18" s="29">
        <f>F18*0.19</f>
        <v/>
      </c>
      <c r="H18" s="29">
        <f>F18+G18</f>
        <v/>
      </c>
    </row>
    <row r="19">
      <c r="A19" s="26" t="inlineStr">
        <is>
          <t>BM.120</t>
        </is>
      </c>
      <c r="B19" s="27" t="inlineStr">
        <is>
          <t>Programmierung / Inbetriebnahme BMA</t>
        </is>
      </c>
      <c r="C19" s="26" t="inlineStr">
        <is>
          <t>psch.</t>
        </is>
      </c>
      <c r="D19" s="28" t="n"/>
      <c r="E19" s="29" t="n">
        <v>280</v>
      </c>
      <c r="F19" s="29">
        <f>IF(D19="",0,D19*E19)</f>
        <v/>
      </c>
      <c r="G19" s="29">
        <f>F19*0.19</f>
        <v/>
      </c>
      <c r="H19" s="29">
        <f>F19+G19</f>
        <v/>
      </c>
    </row>
    <row r="20">
      <c r="A20" s="26" t="inlineStr">
        <is>
          <t>BM.130</t>
        </is>
      </c>
      <c r="B20" s="27" t="inlineStr">
        <is>
          <t>Abnahme durch Sachverständigen (Koordination)</t>
        </is>
      </c>
      <c r="C20" s="26" t="inlineStr">
        <is>
          <t>psch.</t>
        </is>
      </c>
      <c r="D20" s="28" t="n"/>
      <c r="E20" s="29" t="n">
        <v>220</v>
      </c>
      <c r="F20" s="29">
        <f>IF(D20="",0,D20*E20)</f>
        <v/>
      </c>
      <c r="G20" s="29">
        <f>F20*0.19</f>
        <v/>
      </c>
      <c r="H20" s="29">
        <f>F20+G20</f>
        <v/>
      </c>
    </row>
    <row r="21">
      <c r="A21" s="26" t="inlineStr">
        <is>
          <t>BM.140</t>
        </is>
      </c>
      <c r="B21" s="27" t="inlineStr">
        <is>
          <t>Wartung BMA (jährlich, DIN 14675)</t>
        </is>
      </c>
      <c r="C21" s="26" t="inlineStr">
        <is>
          <t>psch.</t>
        </is>
      </c>
      <c r="D21" s="28" t="n"/>
      <c r="E21" s="29" t="n">
        <v>245</v>
      </c>
      <c r="F21" s="29">
        <f>IF(D21="",0,D21*E21)</f>
        <v/>
      </c>
      <c r="G21" s="29">
        <f>F21*0.19</f>
        <v/>
      </c>
      <c r="H21" s="29">
        <f>F21+G21</f>
        <v/>
      </c>
    </row>
    <row r="22">
      <c r="A22" s="26" t="inlineStr">
        <is>
          <t>BM.150</t>
        </is>
      </c>
      <c r="B22" s="27" t="inlineStr">
        <is>
          <t>Anfahrtspauschale</t>
        </is>
      </c>
      <c r="C22" s="26" t="inlineStr">
        <is>
          <t>psch.</t>
        </is>
      </c>
      <c r="D22" s="28" t="n"/>
      <c r="E22" s="29" t="n">
        <v>39</v>
      </c>
      <c r="F22" s="29">
        <f>IF(D22="",0,D22*E22)</f>
        <v/>
      </c>
      <c r="G22" s="29">
        <f>F22*0.19</f>
        <v/>
      </c>
      <c r="H22" s="29">
        <f>F22+G22</f>
        <v/>
      </c>
    </row>
    <row r="23">
      <c r="A23" s="30" t="n"/>
      <c r="B23" s="31" t="inlineStr">
        <is>
          <t>Zwischensumme – Arbeitsleistung / Lohn</t>
        </is>
      </c>
      <c r="C23" s="30" t="n"/>
      <c r="D23" s="30" t="n"/>
      <c r="E23" s="30" t="n"/>
      <c r="F23" s="32">
        <f>SUM(F15:F22)</f>
        <v/>
      </c>
      <c r="G23" s="32">
        <f>SUM(G15:G22)</f>
        <v/>
      </c>
      <c r="H23" s="32">
        <f>SUM(H15:H22)</f>
        <v/>
      </c>
    </row>
    <row r="25">
      <c r="A25" s="35" t="inlineStr">
        <is>
          <t>Mischpositionen (Material + Arbeit + Geräte komplett)</t>
        </is>
      </c>
      <c r="B25" s="25" t="n"/>
      <c r="C25" s="25" t="n"/>
      <c r="D25" s="25" t="n"/>
      <c r="E25" s="25" t="n"/>
      <c r="F25" s="25" t="n"/>
      <c r="G25" s="25" t="n"/>
      <c r="H25" s="25" t="n"/>
    </row>
    <row r="26">
      <c r="A26" s="26" t="inlineStr">
        <is>
          <t>BM.160</t>
        </is>
      </c>
      <c r="B26" s="27" t="inlineStr">
        <is>
          <t>Rauchwarnmelder-Paket Wohnung (bis 6 Melder, vernetzt, komplett)</t>
        </is>
      </c>
      <c r="C26" s="26" t="inlineStr">
        <is>
          <t>psch.</t>
        </is>
      </c>
      <c r="D26" s="28" t="n"/>
      <c r="E26" s="29" t="n">
        <v>490</v>
      </c>
      <c r="F26" s="29">
        <f>IF(D26="",0,D26*E26)</f>
        <v/>
      </c>
      <c r="G26" s="29">
        <f>F26*0.19</f>
        <v/>
      </c>
      <c r="H26" s="29">
        <f>F26+G26</f>
        <v/>
      </c>
    </row>
    <row r="27">
      <c r="A27" s="26" t="inlineStr">
        <is>
          <t>BM.170</t>
        </is>
      </c>
      <c r="B27" s="27" t="inlineStr">
        <is>
          <t>Brandmeldeanlage-Komplettpaket Gewerbe klein (bis 15 Melder)</t>
        </is>
      </c>
      <c r="C27" s="26" t="inlineStr">
        <is>
          <t>psch.</t>
        </is>
      </c>
      <c r="D27" s="28" t="n"/>
      <c r="E27" s="29" t="n">
        <v>3890</v>
      </c>
      <c r="F27" s="29">
        <f>IF(D27="",0,D27*E27)</f>
        <v/>
      </c>
      <c r="G27" s="29">
        <f>F27*0.19</f>
        <v/>
      </c>
      <c r="H27" s="29">
        <f>F27+G27</f>
        <v/>
      </c>
    </row>
    <row r="28">
      <c r="A28" s="26" t="inlineStr">
        <is>
          <t>BM.180</t>
        </is>
      </c>
      <c r="B28" s="27" t="inlineStr">
        <is>
          <t>Wartungspaket BMA jährlich komplett</t>
        </is>
      </c>
      <c r="C28" s="26" t="inlineStr">
        <is>
          <t>psch./Jahr</t>
        </is>
      </c>
      <c r="D28" s="28" t="n"/>
      <c r="E28" s="29" t="n">
        <v>320</v>
      </c>
      <c r="F28" s="29">
        <f>IF(D28="",0,D28*E28)</f>
        <v/>
      </c>
      <c r="G28" s="29">
        <f>F28*0.19</f>
        <v/>
      </c>
      <c r="H28" s="29">
        <f>F28+G28</f>
        <v/>
      </c>
    </row>
    <row r="29">
      <c r="A29" s="30" t="n"/>
      <c r="B29" s="31" t="inlineStr">
        <is>
          <t>Zwischensumme – Mischpositionen (Material + Arbeit + Geräte komplett)</t>
        </is>
      </c>
      <c r="C29" s="30" t="n"/>
      <c r="D29" s="30" t="n"/>
      <c r="E29" s="30" t="n"/>
      <c r="F29" s="32">
        <f>SUM(F26:F28)</f>
        <v/>
      </c>
      <c r="G29" s="32">
        <f>SUM(G26:G28)</f>
        <v/>
      </c>
      <c r="H29" s="32">
        <f>SUM(H26:H28)</f>
        <v/>
      </c>
    </row>
    <row r="31">
      <c r="A31" s="36" t="n"/>
      <c r="B31" s="37" t="inlineStr">
        <is>
          <t>GESAMTSUMME 13. Brandmeldeanlagen</t>
        </is>
      </c>
      <c r="C31" s="36" t="n"/>
      <c r="D31" s="36" t="n"/>
      <c r="E31" s="36" t="n"/>
      <c r="F31" s="38">
        <f>F12+F23+F29</f>
        <v/>
      </c>
      <c r="G31" s="38">
        <f>G12+G23+G29</f>
        <v/>
      </c>
      <c r="H31" s="38">
        <f>H12+H23+H29</f>
        <v/>
      </c>
    </row>
  </sheetData>
  <mergeCells count="9">
    <mergeCell ref="A4:H4"/>
    <mergeCell ref="B23:E23"/>
    <mergeCell ref="B31:E31"/>
    <mergeCell ref="A25:H25"/>
    <mergeCell ref="B12:E12"/>
    <mergeCell ref="A2:H2"/>
    <mergeCell ref="B29:E29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2026-08-22T06:37:11Z</dcterms:created>
  <dcterms:modified xsi:type="dcterms:W3CDTF">2026-08-22T06:37:11Z</dcterms:modified>
</cp:coreProperties>
</file>